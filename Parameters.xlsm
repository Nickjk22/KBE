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ane\Documents\Uni\Master\KBE\Year2\Tutorials\"/>
    </mc:Choice>
  </mc:AlternateContent>
  <xr:revisionPtr revIDLastSave="0" documentId="13_ncr:1_{623F14C8-63B5-461A-97B8-D9FF0266F5A5}" xr6:coauthVersionLast="47" xr6:coauthVersionMax="47" xr10:uidLastSave="{00000000-0000-0000-0000-000000000000}"/>
  <bookViews>
    <workbookView xWindow="28680" yWindow="-120" windowWidth="51840" windowHeight="21120" xr2:uid="{00000000-000D-0000-FFFF-FFFF00000000}"/>
  </bookViews>
  <sheets>
    <sheet name="Inputs" sheetId="1" r:id="rId1"/>
    <sheet name="Materia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</calcChain>
</file>

<file path=xl/sharedStrings.xml><?xml version="1.0" encoding="utf-8"?>
<sst xmlns="http://schemas.openxmlformats.org/spreadsheetml/2006/main" count="54" uniqueCount="53">
  <si>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</si>
  <si>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</si>
  <si>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</si>
  <si>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</si>
  <si>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</si>
  <si>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</si>
  <si>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</si>
  <si>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</si>
  <si>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</si>
  <si>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</si>
  <si>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</si>
  <si>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</si>
  <si>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</si>
  <si>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</si>
  <si>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</si>
  <si>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</si>
  <si>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CASE NR</t>
  </si>
  <si>
    <t>CASE TYPE</t>
  </si>
  <si>
    <t>Fixed CL</t>
  </si>
  <si>
    <t>Fixed aoa</t>
  </si>
  <si>
    <t>C:\Users\raane\Documents\Uni\Master\KBE\Year2\Tutorials\Project\KBE</t>
  </si>
  <si>
    <t>ENTER MAIN DIRECTORY (without "..."):</t>
  </si>
  <si>
    <t>C:/Users/raane/Documents/Uni/Master/KBE/pythonProject/.venv/Scripts/python.exe</t>
  </si>
  <si>
    <t>Case type</t>
  </si>
  <si>
    <t>Air density</t>
  </si>
  <si>
    <t>Case setting</t>
  </si>
  <si>
    <t>wing thickness factor root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</si>
  <si>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</si>
  <si>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</si>
  <si>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</si>
  <si>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</si>
  <si>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</si>
  <si>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</si>
  <si>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 xml:space="preserve">front spar position </t>
  </si>
  <si>
    <t>rear spar position</t>
  </si>
  <si>
    <t>rib number</t>
  </si>
  <si>
    <t>stringer thickness</t>
  </si>
  <si>
    <t>stringer number</t>
  </si>
  <si>
    <t>FEM SETTINGS</t>
  </si>
  <si>
    <t>Target deflection</t>
  </si>
  <si>
    <t>Initial thickness</t>
  </si>
  <si>
    <t xml:space="preserve">points number </t>
  </si>
  <si>
    <t xml:space="preserve">section number </t>
  </si>
  <si>
    <t>Thickness upper bound</t>
  </si>
  <si>
    <t>Thickness lower bound</t>
  </si>
  <si>
    <t>Element length</t>
  </si>
  <si>
    <t>Material</t>
  </si>
  <si>
    <t>Aluminium</t>
  </si>
  <si>
    <t>Steel</t>
  </si>
  <si>
    <t>AL7075</t>
  </si>
  <si>
    <t>Titanium</t>
  </si>
  <si>
    <t>CFRP</t>
  </si>
  <si>
    <t>GFRP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</si>
</sst>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2" fillId="2" borderId="1" xfId="0" applyFont="1" applyFill="1" applyBorder="1" applyAlignment="1">
      <alignment horizontal="right"/>
    </xf>
    <xf numFmtId="0" fontId="12" fillId="2" borderId="2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3" fillId="2" borderId="3" xfId="0" applyFont="1" applyFill="1" applyBorder="1"/>
    <xf numFmtId="0" fontId="13" fillId="2" borderId="1" xfId="0" applyFont="1" applyFill="1" applyBorder="1"/>
    <xf numFmtId="0" fontId="12" fillId="0" borderId="0" xfId="0" applyFont="1"/>
    <xf numFmtId="0" fontId="13" fillId="0" borderId="4" xfId="0" applyFont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4" fillId="0" borderId="0" xfId="0" applyFont="1"/>
    <xf numFmtId="0" fontId="12" fillId="0" borderId="4" xfId="0" applyFont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0" fillId="0" borderId="0" xfId="0" applyFont="1"/>
    <xf numFmtId="0" fontId="0" fillId="0" borderId="7" xfId="0" applyBorder="1" applyAlignment="1">
      <alignment horizontal="center"/>
    </xf>
    <xf numFmtId="0" fontId="20" fillId="0" borderId="0" xfId="0" applyFont="1" applyAlignment="1">
      <alignment vertical="center"/>
    </xf>
    <xf numFmtId="0" fontId="0" fillId="0" borderId="18" xfId="0" applyBorder="1"/>
    <xf numFmtId="0" fontId="17" fillId="0" borderId="0" xfId="0" applyFont="1"/>
    <xf numFmtId="0" fontId="8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21" fillId="0" borderId="0" xfId="0" applyFont="1"/>
    <xf numFmtId="0" fontId="8" fillId="0" borderId="0" xfId="0" applyFont="1" applyAlignment="1">
      <alignment horizontal="center"/>
    </xf>
    <xf numFmtId="0" fontId="17" fillId="0" borderId="9" xfId="0" applyFont="1" applyBorder="1"/>
    <xf numFmtId="0" fontId="17" fillId="0" borderId="11" xfId="0" applyFont="1" applyBorder="1"/>
    <xf numFmtId="0" fontId="0" fillId="0" borderId="12" xfId="0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6" fillId="0" borderId="8" xfId="0" applyFont="1" applyBorder="1" applyAlignment="1">
      <alignment horizontal="center"/>
    </xf>
    <xf numFmtId="0" fontId="14" fillId="0" borderId="19" xfId="0" applyFont="1" applyBorder="1"/>
    <xf numFmtId="0" fontId="10" fillId="0" borderId="19" xfId="0" applyFont="1" applyBorder="1"/>
    <xf numFmtId="0" fontId="17" fillId="0" borderId="0" xfId="0" applyFont="1" applyAlignment="1">
      <alignment horizontal="center"/>
    </xf>
    <xf numFmtId="0" fontId="17" fillId="0" borderId="14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7" xfId="0" applyBorder="1"/>
    <xf numFmtId="0" fontId="14" fillId="0" borderId="0" xfId="0" applyFont="1" applyAlignment="1">
      <alignment horizontal="center"/>
    </xf>
    <xf numFmtId="0" fontId="15" fillId="0" borderId="0" xfId="0" applyFont="1"/>
    <xf numFmtId="0" fontId="18" fillId="0" borderId="0" xfId="0" applyFont="1"/>
    <xf numFmtId="0" fontId="19" fillId="0" borderId="0" xfId="0" applyFont="1"/>
    <xf numFmtId="0" fontId="13" fillId="0" borderId="7" xfId="0" applyFont="1" applyBorder="1" applyAlignment="1">
      <alignment horizontal="center"/>
    </xf>
    <xf numFmtId="0" fontId="18" fillId="0" borderId="7" xfId="0" applyFont="1" applyBorder="1"/>
    <xf numFmtId="0" fontId="14" fillId="0" borderId="16" xfId="0" applyFont="1" applyBorder="1"/>
    <xf numFmtId="0" fontId="14" fillId="0" borderId="10" xfId="0" applyFont="1" applyBorder="1"/>
    <xf numFmtId="0" fontId="11" fillId="0" borderId="10" xfId="0" applyFont="1" applyBorder="1" applyAlignment="1">
      <alignment horizontal="center"/>
    </xf>
    <xf numFmtId="0" fontId="10" fillId="0" borderId="16" xfId="0" applyFont="1" applyBorder="1"/>
    <xf numFmtId="0" fontId="5" fillId="0" borderId="0" xfId="0" applyFont="1"/>
    <xf numFmtId="0" fontId="5" fillId="0" borderId="10" xfId="0" applyFont="1" applyBorder="1"/>
    <xf numFmtId="0" fontId="4" fillId="0" borderId="19" xfId="0" applyFont="1" applyBorder="1"/>
    <xf numFmtId="0" fontId="3" fillId="0" borderId="0" xfId="0" applyFont="1"/>
    <xf numFmtId="0" fontId="3" fillId="0" borderId="19" xfId="0" applyFont="1" applyBorder="1"/>
    <xf numFmtId="0" fontId="3" fillId="0" borderId="16" xfId="0" applyFont="1" applyBorder="1"/>
    <xf numFmtId="0" fontId="17" fillId="0" borderId="7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2" fillId="0" borderId="19" xfId="0" applyFont="1" applyBorder="1"/>
    <xf numFmtId="0" fontId="2" fillId="0" borderId="19" xfId="0" quotePrefix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" fillId="0" borderId="0" xfId="0" applyFont="1"/>
    <xf numFmtId="0" fontId="4" fillId="0" borderId="1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7" fillId="0" borderId="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topLeftCell="A5" workbookViewId="0">
      <selection activeCell="F42" sqref="F42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2.6640625" style="20" customWidth="1"/>
    <col min="7" max="7" width="12.109375" customWidth="1"/>
    <col min="8" max="8" width="8.33203125" customWidth="1"/>
    <col min="9" max="9" width="10.21875" customWidth="1"/>
    <col min="10" max="10" width="10.5546875" customWidth="1"/>
    <col min="11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28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41" t="s">
        <v>6</v>
      </c>
      <c r="B2" s="7">
        <v>7</v>
      </c>
      <c r="C2" s="8"/>
    </row>
    <row r="3" spans="1:26" ht="14.25" customHeight="1">
      <c r="A3" s="41" t="s">
        <v>7</v>
      </c>
      <c r="B3" s="7">
        <v>4</v>
      </c>
      <c r="C3" s="8"/>
      <c r="F3" s="69" t="s">
        <v>21</v>
      </c>
      <c r="G3" s="67"/>
      <c r="H3" s="67"/>
      <c r="I3" s="67"/>
      <c r="J3" s="67"/>
      <c r="K3" s="67"/>
      <c r="L3" s="67"/>
      <c r="M3" s="67"/>
      <c r="N3" s="67"/>
      <c r="O3" s="67"/>
      <c r="P3" s="68"/>
    </row>
    <row r="4" spans="1:26" ht="14.25" customHeight="1">
      <c r="A4" s="41" t="s">
        <v>8</v>
      </c>
      <c r="B4" s="7">
        <v>1.5</v>
      </c>
      <c r="C4" s="8"/>
      <c r="E4" s="32" t="s">
        <v>11</v>
      </c>
      <c r="F4" s="66" t="s">
        <v>20</v>
      </c>
      <c r="G4" s="67"/>
      <c r="H4" s="67"/>
      <c r="I4" s="67"/>
      <c r="J4" s="67"/>
      <c r="K4" s="67"/>
      <c r="L4" s="67"/>
      <c r="M4" s="67"/>
      <c r="N4" s="67"/>
      <c r="O4" s="67"/>
      <c r="P4" s="68"/>
    </row>
    <row r="5" spans="1:26" ht="14.25" customHeight="1">
      <c r="A5" s="41"/>
      <c r="B5" s="7"/>
      <c r="C5" s="8"/>
    </row>
    <row r="6" spans="1:26" ht="14.25" customHeight="1">
      <c r="A6" s="41" t="s">
        <v>26</v>
      </c>
      <c r="B6" s="7">
        <v>1</v>
      </c>
      <c r="C6" s="8"/>
      <c r="F6" s="73" t="s">
        <v>12</v>
      </c>
      <c r="G6" s="74"/>
      <c r="H6" s="74"/>
      <c r="I6" s="74"/>
      <c r="J6" s="74"/>
      <c r="K6" s="74"/>
      <c r="L6" s="74"/>
      <c r="M6" s="74"/>
      <c r="N6" s="74"/>
      <c r="O6" s="74"/>
      <c r="P6" s="75"/>
    </row>
    <row r="7" spans="1:26" ht="14.25" customHeight="1">
      <c r="A7" s="41" t="s">
        <v>27</v>
      </c>
      <c r="B7" s="7">
        <v>1</v>
      </c>
      <c r="C7" s="8"/>
      <c r="E7" s="31" t="s">
        <v>3</v>
      </c>
      <c r="F7" s="76" t="str">
        <f>F4&amp;"\whitcomb.dat"</f>
        <v>C:\Users\raane\Documents\Uni\Master\KBE\Year2\Tutorials\Project\KBE\whitcomb.dat</v>
      </c>
      <c r="G7" s="77"/>
      <c r="H7" s="77"/>
      <c r="I7" s="77"/>
      <c r="J7" s="77"/>
      <c r="K7" s="77"/>
      <c r="L7" s="77"/>
      <c r="M7" s="77"/>
      <c r="N7" s="77"/>
      <c r="O7" s="77"/>
      <c r="P7" s="78"/>
    </row>
    <row r="8" spans="1:26" ht="14.25" customHeight="1">
      <c r="A8" s="53" t="s">
        <v>28</v>
      </c>
      <c r="B8" s="7">
        <v>1</v>
      </c>
      <c r="C8" s="8"/>
      <c r="E8" s="31" t="s">
        <v>4</v>
      </c>
      <c r="F8" s="79" t="str">
        <f>F4&amp;"\whitcomb.dat"</f>
        <v>C:\Users\raane\Documents\Uni\Master\KBE\Year2\Tutorials\Project\KBE\whitcomb.dat</v>
      </c>
      <c r="G8" s="80"/>
      <c r="H8" s="80"/>
      <c r="I8" s="80"/>
      <c r="J8" s="80"/>
      <c r="K8" s="80"/>
      <c r="L8" s="80"/>
      <c r="M8" s="80"/>
      <c r="N8" s="80"/>
      <c r="O8" s="80"/>
      <c r="P8" s="81"/>
    </row>
    <row r="9" spans="1:26" ht="14.25" customHeight="1">
      <c r="A9" s="9"/>
      <c r="B9" s="7"/>
      <c r="C9" s="8"/>
      <c r="E9" s="46" t="s">
        <v>5</v>
      </c>
      <c r="F9" s="79" t="str">
        <f>F4&amp;"\whitcomb.dat"</f>
        <v>C:\Users\raane\Documents\Uni\Master\KBE\Year2\Tutorials\Project\KBE\whitcomb.dat</v>
      </c>
      <c r="G9" s="80"/>
      <c r="H9" s="80"/>
      <c r="I9" s="80"/>
      <c r="J9" s="80"/>
      <c r="K9" s="80"/>
      <c r="L9" s="80"/>
      <c r="M9" s="80"/>
      <c r="N9" s="80"/>
      <c r="O9" s="80"/>
      <c r="P9" s="81"/>
    </row>
    <row r="10" spans="1:26" ht="14.25" customHeight="1">
      <c r="A10" s="53" t="s">
        <v>29</v>
      </c>
      <c r="B10" s="7">
        <v>5</v>
      </c>
      <c r="C10" s="8"/>
      <c r="E10" s="47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</row>
    <row r="11" spans="1:26" ht="14.25" customHeight="1">
      <c r="A11" s="53" t="s">
        <v>30</v>
      </c>
      <c r="B11" s="7">
        <v>16</v>
      </c>
      <c r="C11" s="8"/>
      <c r="F11" s="69" t="s">
        <v>13</v>
      </c>
      <c r="G11" s="84"/>
      <c r="H11" s="84"/>
      <c r="I11" s="84"/>
      <c r="J11" s="84"/>
      <c r="K11" s="84"/>
      <c r="L11" s="84"/>
      <c r="M11" s="84"/>
      <c r="N11" s="84"/>
      <c r="O11" s="84"/>
      <c r="P11" s="85"/>
    </row>
    <row r="12" spans="1:26" ht="14.25" customHeight="1">
      <c r="A12" s="9"/>
      <c r="B12" s="7"/>
      <c r="C12" s="8"/>
      <c r="E12" s="32" t="s">
        <v>14</v>
      </c>
      <c r="F12" s="66" t="s">
        <v>22</v>
      </c>
      <c r="G12" s="82"/>
      <c r="H12" s="82"/>
      <c r="I12" s="82"/>
      <c r="J12" s="82"/>
      <c r="K12" s="82"/>
      <c r="L12" s="82"/>
      <c r="M12" s="82"/>
      <c r="N12" s="82"/>
      <c r="O12" s="82"/>
      <c r="P12" s="83"/>
    </row>
    <row r="13" spans="1:26" ht="14.25" customHeight="1">
      <c r="A13" s="53" t="s">
        <v>31</v>
      </c>
      <c r="B13" s="7">
        <v>20</v>
      </c>
      <c r="C13" s="8"/>
      <c r="E13" s="49" t="s">
        <v>10</v>
      </c>
      <c r="F13" s="70" t="str">
        <f>F4&amp;"\main_wing_app.py"</f>
        <v>C:\Users\raane\Documents\Uni\Master\KBE\Year2\Tutorials\Project\KBE\main_wing_app.py</v>
      </c>
      <c r="G13" s="71"/>
      <c r="H13" s="71"/>
      <c r="I13" s="71"/>
      <c r="J13" s="71"/>
      <c r="K13" s="71"/>
      <c r="L13" s="71"/>
      <c r="M13" s="71"/>
      <c r="N13" s="71"/>
      <c r="O13" s="71"/>
      <c r="P13" s="72"/>
    </row>
    <row r="14" spans="1:26" ht="14.25" customHeight="1">
      <c r="A14" s="53" t="s">
        <v>32</v>
      </c>
      <c r="B14" s="7">
        <v>20</v>
      </c>
      <c r="C14" s="8"/>
      <c r="E14" s="51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</row>
    <row r="15" spans="1:26" ht="14.25" customHeight="1">
      <c r="A15" s="9"/>
      <c r="B15" s="7"/>
      <c r="C15" s="8"/>
      <c r="E15" s="50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1:26" ht="14.25" customHeight="1">
      <c r="A16" s="53" t="s">
        <v>33</v>
      </c>
      <c r="B16" s="7">
        <v>0.2</v>
      </c>
      <c r="C16" s="8"/>
      <c r="F16" s="29"/>
      <c r="G16" s="14"/>
    </row>
    <row r="17" spans="1:10" ht="14.25" customHeight="1">
      <c r="A17" s="53" t="s">
        <v>34</v>
      </c>
      <c r="B17" s="7">
        <v>0.6</v>
      </c>
      <c r="C17" s="8"/>
    </row>
    <row r="18" spans="1:10" ht="14.25" customHeight="1">
      <c r="A18" s="9"/>
      <c r="B18" s="7"/>
      <c r="C18" s="8"/>
      <c r="F18" s="34" t="s">
        <v>15</v>
      </c>
      <c r="G18" s="56"/>
      <c r="I18" s="24" t="s">
        <v>16</v>
      </c>
      <c r="J18" s="25" t="s">
        <v>17</v>
      </c>
    </row>
    <row r="19" spans="1:10" ht="14.25" customHeight="1">
      <c r="A19" s="53" t="s">
        <v>35</v>
      </c>
      <c r="B19" s="7">
        <v>15</v>
      </c>
      <c r="C19" s="8"/>
      <c r="E19" s="19" t="s">
        <v>9</v>
      </c>
      <c r="F19" s="58">
        <v>0.5</v>
      </c>
      <c r="G19" s="61"/>
      <c r="I19" s="15">
        <v>1</v>
      </c>
      <c r="J19" s="30" t="s">
        <v>18</v>
      </c>
    </row>
    <row r="20" spans="1:10" ht="14.25" customHeight="1">
      <c r="A20" s="9"/>
      <c r="B20" s="7"/>
      <c r="C20" s="8"/>
      <c r="E20" s="52" t="s">
        <v>23</v>
      </c>
      <c r="F20" s="59">
        <v>2</v>
      </c>
      <c r="G20" s="15"/>
      <c r="I20" s="26">
        <v>2</v>
      </c>
      <c r="J20" s="27" t="s">
        <v>19</v>
      </c>
    </row>
    <row r="21" spans="1:10" ht="14.25" customHeight="1">
      <c r="A21" s="53" t="s">
        <v>36</v>
      </c>
      <c r="B21" s="7">
        <v>0.01</v>
      </c>
      <c r="C21" s="8"/>
      <c r="E21" s="52" t="s">
        <v>25</v>
      </c>
      <c r="F21" s="59">
        <v>5</v>
      </c>
      <c r="G21" s="15"/>
    </row>
    <row r="22" spans="1:10" ht="14.25" customHeight="1">
      <c r="A22" s="53" t="s">
        <v>37</v>
      </c>
      <c r="B22" s="7">
        <v>10</v>
      </c>
      <c r="C22" s="8"/>
      <c r="E22" s="52" t="s">
        <v>24</v>
      </c>
      <c r="F22" s="59">
        <v>1.2</v>
      </c>
      <c r="G22" s="15"/>
    </row>
    <row r="23" spans="1:10" ht="14.25" customHeight="1">
      <c r="B23" s="7"/>
      <c r="C23" s="8"/>
    </row>
    <row r="24" spans="1:10" ht="14.25" customHeight="1">
      <c r="A24" s="53" t="s">
        <v>41</v>
      </c>
      <c r="B24" s="7">
        <v>14</v>
      </c>
      <c r="C24" s="8"/>
      <c r="F24" s="57" t="s">
        <v>38</v>
      </c>
      <c r="G24" s="33"/>
    </row>
    <row r="25" spans="1:10" ht="14.25" customHeight="1">
      <c r="A25" s="53" t="s">
        <v>42</v>
      </c>
      <c r="B25" s="7">
        <v>14</v>
      </c>
      <c r="C25" s="8"/>
      <c r="E25" s="54" t="s">
        <v>39</v>
      </c>
      <c r="F25" s="58">
        <v>0.5</v>
      </c>
      <c r="G25" s="61"/>
    </row>
    <row r="26" spans="1:10" ht="14.25" customHeight="1">
      <c r="A26" s="53"/>
      <c r="B26" s="7"/>
      <c r="C26" s="8"/>
      <c r="E26" s="54" t="s">
        <v>40</v>
      </c>
      <c r="F26" s="59">
        <v>0.1</v>
      </c>
      <c r="G26" s="15"/>
    </row>
    <row r="27" spans="1:10" ht="14.25" customHeight="1">
      <c r="B27" s="7"/>
      <c r="C27" s="8"/>
      <c r="E27" s="55" t="s">
        <v>44</v>
      </c>
      <c r="F27" s="59">
        <v>0.05</v>
      </c>
      <c r="G27" s="39"/>
    </row>
    <row r="28" spans="1:10" ht="14.25" customHeight="1">
      <c r="A28" s="6"/>
      <c r="B28" s="7"/>
      <c r="C28" s="8"/>
      <c r="E28" s="54" t="s">
        <v>43</v>
      </c>
      <c r="F28" s="60">
        <v>0.1</v>
      </c>
    </row>
    <row r="29" spans="1:10" ht="14.25" customHeight="1">
      <c r="A29" s="9"/>
      <c r="B29" s="7"/>
      <c r="C29" s="8"/>
      <c r="E29" s="54" t="s">
        <v>45</v>
      </c>
      <c r="F29" s="21">
        <v>0.1</v>
      </c>
    </row>
    <row r="30" spans="1:10" ht="14.25" customHeight="1">
      <c r="A30" s="9"/>
      <c r="B30" s="7"/>
      <c r="C30" s="8"/>
      <c r="E30" s="62" t="s">
        <v>46</v>
      </c>
      <c r="F30" s="63" t="s">
        <v>48</v>
      </c>
    </row>
    <row r="31" spans="1:10" ht="14.25" customHeight="1">
      <c r="B31" s="7"/>
      <c r="C31" s="8"/>
    </row>
    <row r="32" spans="1:10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3"/>
    </row>
    <row r="36" spans="1:6" ht="14.25" customHeight="1">
      <c r="A36" s="9"/>
      <c r="B36" s="7"/>
      <c r="C36" s="8"/>
      <c r="F36" s="23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F58" s="33"/>
      <c r="H58" s="18"/>
    </row>
    <row r="59" spans="1:17" ht="14.25" customHeight="1">
      <c r="B59" s="7"/>
      <c r="C59" s="8"/>
      <c r="E59" s="6"/>
      <c r="F59" s="40"/>
      <c r="H59" s="14"/>
    </row>
    <row r="60" spans="1:17" ht="14.25" customHeight="1">
      <c r="A60" s="6"/>
      <c r="B60" s="10"/>
      <c r="C60" s="11"/>
      <c r="E60" s="6"/>
      <c r="F60" s="40"/>
      <c r="H60" s="41"/>
    </row>
    <row r="61" spans="1:17" ht="14.25" customHeight="1">
      <c r="A61" s="14"/>
      <c r="B61" s="7"/>
      <c r="C61" s="11"/>
      <c r="E61" s="6"/>
      <c r="F61" s="40"/>
      <c r="H61" s="6"/>
    </row>
    <row r="62" spans="1:17" ht="14.25" customHeight="1">
      <c r="A62" s="14"/>
      <c r="B62" s="7"/>
      <c r="C62" s="11"/>
    </row>
    <row r="63" spans="1:17" s="20" customFormat="1" ht="14.25" customHeight="1">
      <c r="A63" s="35"/>
      <c r="B63" s="38"/>
      <c r="C63" s="11"/>
      <c r="D63" s="36"/>
      <c r="E63" s="36"/>
      <c r="F63" s="36"/>
      <c r="H63" s="36"/>
      <c r="P63" s="37"/>
      <c r="Q63" s="37"/>
    </row>
    <row r="64" spans="1:17" ht="14.25" customHeight="1">
      <c r="A64" s="22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39"/>
      <c r="C70" s="13"/>
    </row>
    <row r="71" spans="1:26" ht="14.25" customHeight="1">
      <c r="A71" s="42"/>
      <c r="B71" s="44"/>
      <c r="C71" s="13"/>
      <c r="D71" s="6"/>
    </row>
    <row r="72" spans="1:26" ht="14.25" customHeight="1">
      <c r="A72" s="2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2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2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20"/>
      <c r="B75" s="15"/>
      <c r="C75" s="13"/>
    </row>
    <row r="76" spans="1:26" ht="14.25" customHeight="1">
      <c r="A76" s="43"/>
      <c r="B76" s="44"/>
      <c r="C76" s="13"/>
    </row>
    <row r="77" spans="1:26" ht="14.25" customHeight="1">
      <c r="A77" s="43"/>
      <c r="B77" s="45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9">
    <mergeCell ref="F4:P4"/>
    <mergeCell ref="F3:P3"/>
    <mergeCell ref="F13:P13"/>
    <mergeCell ref="F6:P6"/>
    <mergeCell ref="F7:P7"/>
    <mergeCell ref="F8:P8"/>
    <mergeCell ref="F9:P9"/>
    <mergeCell ref="F12:P12"/>
    <mergeCell ref="F11:P11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1F0FF3A-4AB7-44BA-9C1A-BB43EC0FA706}">
          <x14:formula1>
            <xm:f>Materials!$A$1:$A$6</xm:f>
          </x14:formula1>
          <xm:sqref>F30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C483-C68F-4334-8FBF-5A0E60B92B3B}">
  <dimension ref="A1:A6"/>
  <sheetViews>
    <sheetView workbookViewId="0">
      <selection activeCell="C5" sqref="C5"/>
    </sheetView>
  </sheetViews>
  <sheetFormatPr defaultRowHeight="14.4"/>
  <sheetData>
    <row r="1" spans="1:1">
      <c r="A1" s="65" t="s">
        <v>48</v>
      </c>
    </row>
    <row r="2" spans="1:1">
      <c r="A2" s="65" t="s">
        <v>47</v>
      </c>
    </row>
    <row r="3" spans="1:1">
      <c r="A3" t="s">
        <v>49</v>
      </c>
    </row>
    <row r="4" spans="1:1">
      <c r="A4" t="s">
        <v>50</v>
      </c>
    </row>
    <row r="5" spans="1:1">
      <c r="A5" t="s">
        <v>51</v>
      </c>
    </row>
    <row r="6" spans="1:1">
      <c r="A6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Materials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Riks Molenaar</cp:lastModifiedBy>
  <dcterms:created xsi:type="dcterms:W3CDTF">2024-05-16T14:16:02Z</dcterms:created>
  <dcterms:modified xsi:type="dcterms:W3CDTF">2025-06-12T20:17:09Z</dcterms:modified>
</cp:coreProperties>
</file>