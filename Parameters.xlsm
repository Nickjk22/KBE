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ane\Documents\Uni\Master\KBE\Year2\Tutorials\Project\KBE\"/>
    </mc:Choice>
  </mc:AlternateContent>
  <xr:revisionPtr revIDLastSave="0" documentId="13_ncr:1_{2F84AD50-FAE1-4C7F-B3E5-EEA79B593EB7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Inputs" sheetId="1" r:id="rId1"/>
    <sheet name="Stability derivatives" sheetId="2" r:id="rId2"/>
    <sheet name="Dynamic stability" sheetId="4" r:id="rId3"/>
    <sheet name="Stable or not" sheetId="3" r:id="rId4"/>
  </sheets>
  <definedNames>
    <definedName name="ExternalData_1" localSheetId="2">'Dynamic stability'!$A$1:$B$30</definedName>
    <definedName name="ExternalData_1" localSheetId="1">'Stability derivatives'!$A$1:$G$158</definedName>
    <definedName name="ExternalData_10" localSheetId="2">'Dynamic stability'!$A$1:$A$72</definedName>
    <definedName name="ExternalData_10" localSheetId="1">'Stability derivatives'!$A$1:$B$158</definedName>
    <definedName name="ExternalData_11" localSheetId="2">'Dynamic stability'!$A$1:$A$72</definedName>
    <definedName name="ExternalData_11" localSheetId="1">'Stability derivatives'!$A$1:$B$158</definedName>
    <definedName name="ExternalData_12" localSheetId="1">'Stability derivatives'!$A$1:$B$158</definedName>
    <definedName name="ExternalData_13" localSheetId="1">'Stability derivatives'!$A$1:$B$158</definedName>
    <definedName name="ExternalData_14" localSheetId="1">'Stability derivatives'!$A$1:$B$158</definedName>
    <definedName name="ExternalData_15" localSheetId="1">'Stability derivatives'!$A$1:$B$158</definedName>
    <definedName name="ExternalData_16" localSheetId="1">'Stability derivatives'!$A$1:$F$158</definedName>
    <definedName name="ExternalData_17" localSheetId="1">'Stability derivatives'!$A$1:$B$158</definedName>
    <definedName name="ExternalData_18" localSheetId="1">'Stability derivatives'!$A$1:$B$158</definedName>
    <definedName name="ExternalData_19" localSheetId="1">'Stability derivatives'!$A$1:$B$80</definedName>
    <definedName name="ExternalData_2" localSheetId="2">'Dynamic stability'!$A$1:$B$30</definedName>
    <definedName name="ExternalData_2" localSheetId="1">'Stability derivatives'!$A$1:$G$158</definedName>
    <definedName name="ExternalData_20" localSheetId="1">'Stability derivatives'!$A$1:$B$30</definedName>
    <definedName name="ExternalData_21" localSheetId="1">'Stability derivatives'!$A$1:$B$80</definedName>
    <definedName name="ExternalData_22" localSheetId="1">'Stability derivatives'!$A$1:$A$80</definedName>
    <definedName name="ExternalData_23" localSheetId="1">'Stability derivatives'!$A$1:$B$80</definedName>
    <definedName name="ExternalData_24" localSheetId="1">'Stability derivatives'!$A$1:$B$197</definedName>
    <definedName name="ExternalData_25" localSheetId="1">'Stability derivatives'!$A$1:$B$197</definedName>
    <definedName name="ExternalData_26" localSheetId="1">'Stability derivatives'!$A$1:$B$197</definedName>
    <definedName name="ExternalData_27" localSheetId="1">'Stability derivatives'!$A$1:$B$197</definedName>
    <definedName name="ExternalData_28" localSheetId="1">'Stability derivatives'!$A$1:$B$197</definedName>
    <definedName name="ExternalData_3" localSheetId="2">'Dynamic stability'!$A$1:$B$30</definedName>
    <definedName name="ExternalData_3" localSheetId="1">'Stability derivatives'!$A$1:$G$158</definedName>
    <definedName name="ExternalData_4" localSheetId="2">'Dynamic stability'!$A$1:$B$30</definedName>
    <definedName name="ExternalData_4" localSheetId="1">'Stability derivatives'!$A$1:$G$158</definedName>
    <definedName name="ExternalData_5" localSheetId="2">'Dynamic stability'!$A$1:$B$72</definedName>
    <definedName name="ExternalData_5" localSheetId="1">'Stability derivatives'!$A$1:$F$158</definedName>
    <definedName name="ExternalData_6" localSheetId="2">'Dynamic stability'!$A$1:$B$72</definedName>
    <definedName name="ExternalData_6" localSheetId="1">'Stability derivatives'!$A$1:$A$158</definedName>
    <definedName name="ExternalData_7" localSheetId="1">'Stability derivatives'!$A$1:$B$158</definedName>
    <definedName name="ExternalData_8" localSheetId="1">'Stability derivatives'!$A$1:$G$158</definedName>
    <definedName name="ExternalData_9" localSheetId="2">'Dynamic stability'!$A$1:$G$72</definedName>
    <definedName name="ExternalData_9" localSheetId="1">'Stability derivatives'!$A$1:$B$158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gvbDq8fQqVWLapeWNy8zlOHdQl7DAPBfDr6NYDy3bvk="/>
    </ext>
  </extLst>
</workbook>
</file>

<file path=xl/calcChain.xml><?xml version="1.0" encoding="utf-8"?>
<calcChain xmlns="http://schemas.openxmlformats.org/spreadsheetml/2006/main">
  <c r="F13" i="1" l="1"/>
  <c r="F7" i="1"/>
  <c r="F9" i="1"/>
  <c r="F8" i="1"/>
  <c r="E8" i="3" a="1"/>
  <c r="E8" i="3" s="1"/>
  <c r="E7" i="3" a="1"/>
  <c r="E7" i="3" s="1"/>
  <c r="E6" i="3" a="1"/>
  <c r="E6" i="3" s="1"/>
  <c r="E5" i="3" a="1"/>
  <c r="E5" i="3"/>
  <c r="E4" i="3" a="1"/>
  <c r="E4" i="3" s="1"/>
  <c r="F8" i="3" a="1"/>
  <c r="F8" i="3" s="1"/>
  <c r="F7" i="3" a="1"/>
  <c r="F7" i="3" s="1"/>
  <c r="F6" i="3" a="1"/>
  <c r="F6" i="3" s="1"/>
  <c r="F5" i="3" a="1"/>
  <c r="F5" i="3" s="1"/>
  <c r="F4" i="3" a="1"/>
  <c r="F4" i="3" s="1"/>
  <c r="B12" i="4"/>
  <c r="B36" i="3"/>
  <c r="A36" i="3"/>
  <c r="B35" i="3"/>
  <c r="A35" i="3"/>
  <c r="B34" i="3"/>
  <c r="A34" i="3"/>
  <c r="B33" i="3"/>
  <c r="A33" i="3"/>
  <c r="B32" i="3"/>
  <c r="A32" i="3"/>
  <c r="B29" i="3"/>
  <c r="A29" i="3"/>
  <c r="B28" i="3"/>
  <c r="A28" i="3"/>
  <c r="B27" i="3"/>
  <c r="A27" i="3"/>
  <c r="B26" i="3"/>
  <c r="A26" i="3"/>
  <c r="B25" i="3"/>
  <c r="A25" i="3"/>
  <c r="B22" i="3"/>
  <c r="B21" i="3"/>
  <c r="B20" i="3"/>
  <c r="B19" i="3"/>
  <c r="B18" i="3"/>
  <c r="A22" i="3"/>
  <c r="A21" i="3"/>
  <c r="A20" i="3"/>
  <c r="A19" i="3"/>
  <c r="A18" i="3"/>
  <c r="A11" i="3"/>
  <c r="B15" i="3"/>
  <c r="A15" i="3"/>
  <c r="B8" i="3"/>
  <c r="A8" i="3"/>
  <c r="B14" i="3"/>
  <c r="A14" i="3"/>
  <c r="B7" i="3"/>
  <c r="A7" i="3"/>
  <c r="B13" i="3"/>
  <c r="B12" i="3"/>
  <c r="B11" i="3"/>
  <c r="A13" i="3"/>
  <c r="A12" i="3"/>
  <c r="B4" i="3"/>
  <c r="B5" i="3"/>
  <c r="B6" i="3"/>
  <c r="A6" i="3"/>
  <c r="A5" i="3"/>
  <c r="A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267C4E-6091-45EF-8075-D18E6FDE064C}" name="dynamic_stability" type="6" refreshedVersion="8" background="1" saveData="1">
    <textPr prompt="0" sourceFile="C:\Users\raane\Documents\Uni\Master\KBE\Aircraft selfmade\dynamic_stability.txt" tab="0" semicolon="1" delimiter="O">
      <textFields>
        <textField/>
      </textFields>
    </textPr>
  </connection>
  <connection id="2" xr16:uid="{2270E10B-C820-4CCE-982C-79841520C935}" name="dynamic_stability1" type="6" refreshedVersion="8" background="1" saveData="1">
    <textPr prompt="0" sourceFile="C:\Users\raane\Documents\Uni\Master\KBE\Aircraft selfmade\dynamic_stability.txt" tab="0" semicolon="1" delimiter="F">
      <textFields>
        <textField/>
      </textFields>
    </textPr>
  </connection>
  <connection id="3" xr16:uid="{1817D259-766F-4929-A95D-57DF7C08A3F3}" name="dynamic_stability10" type="6" refreshedVersion="8" background="1" saveData="1">
    <textPr prompt="0" sourceFile="C:\Users\raane\Documents\Uni\Master\KBE\Aircraft selfmade\dynamic_stability.txt" tab="0" delimiter="W">
      <textFields>
        <textField/>
      </textFields>
    </textPr>
  </connection>
  <connection id="4" xr16:uid="{EF305880-85F0-4ACC-BB6F-9B92466A5C01}" name="dynamic_stability2" type="6" refreshedVersion="8" background="1" saveData="1">
    <textPr prompt="0" sourceFile="C:\Users\raane\Documents\Uni\Master\KBE\Aircraft selfmade\dynamic_stability.txt" tab="0" semicolon="1" delimiter="O">
      <textFields>
        <textField/>
      </textFields>
    </textPr>
  </connection>
  <connection id="5" xr16:uid="{FA01AEAE-7A07-4B15-BEC7-B7AF86F81B92}" name="dynamic_stability3" type="6" refreshedVersion="8" background="1" saveData="1">
    <textPr prompt="0" sourceFile="C:\Users\raane\Documents\Uni\Master\KBE\Aircraft selfmade\dynamic_stability.txt" tab="0" semicolon="1" delimiter="O">
      <textFields>
        <textField/>
      </textFields>
    </textPr>
  </connection>
  <connection id="6" xr16:uid="{02196337-84A3-461D-BC41-B28CF0BDBAC2}" name="dynamic_stability4" type="6" refreshedVersion="8" background="1" saveData="1">
    <textPr prompt="0" sourceFile="C:\Users\raane\Documents\Uni\Master\KBE\Aircraft selfmade\dynamic_stability.txt" tab="0" semicolon="1" delimiter="O">
      <textFields>
        <textField/>
      </textFields>
    </textPr>
  </connection>
  <connection id="7" xr16:uid="{B43B6D50-A23A-4A42-AFE1-E8C789D726E3}" name="dynamic_stability5" type="6" refreshedVersion="8" background="1" saveData="1">
    <textPr prompt="0" sourceFile="C:\Users\raane\Documents\Uni\Master\KBE\Aircraft selfmade\dynamic_stability.txt" tab="0" semicolon="1" delimiter="O">
      <textFields>
        <textField/>
      </textFields>
    </textPr>
  </connection>
  <connection id="8" xr16:uid="{A7E2A620-1FEB-4B8E-8B92-91B063D77200}" name="dynamic_stability6" type="6" refreshedVersion="8" background="1" saveData="1">
    <textPr prompt="0" sourceFile="C:\Users\raane\Documents\Uni\Master\KBE\Aircraft selfmade\dynamic_stability.txt" tab="0" delimiter="O">
      <textFields>
        <textField/>
      </textFields>
    </textPr>
  </connection>
  <connection id="9" xr16:uid="{7E3F93EA-8345-4A4E-AF60-1751EDEEBF1B}" name="dynamic_stability7" type="6" refreshedVersion="8" background="1" saveData="1">
    <textPr prompt="0" sourceFile="C:\Users\raane\Documents\Uni\Master\KBE\Aircraft selfmade\dynamic_stability.txt" tab="0" delimiter="W">
      <textFields>
        <textField/>
      </textFields>
    </textPr>
  </connection>
  <connection id="10" xr16:uid="{44CC8F3A-88BE-4732-8221-2C5D3734FF1A}" name="dynamic_stability9" type="6" refreshedVersion="8" background="1" saveData="1">
    <textPr prompt="0" sourceFile="C:\Users\raane\Documents\Uni\Master\KBE\Aircraft selfmade\dynamic_stability.txt" tab="0" space="1" delimiter="O">
      <textFields>
        <textField/>
      </textFields>
    </textPr>
  </connection>
  <connection id="11" xr16:uid="{29009874-40E6-4BD3-A24E-F40F0394F3A9}" name="new_results" type="6" refreshedVersion="8" background="1" saveData="1">
    <textPr prompt="0" sourceFile="C:\Users\raane\Documents\Uni\Master\KBE\Aircraft selfmade\new_results.txt" decimal="," thousands="." space="1" delimiter="O">
      <textFields>
        <textField/>
      </textFields>
    </textPr>
  </connection>
  <connection id="12" xr16:uid="{D18E5F16-D5F9-496E-A922-F678D5802B26}" name="new_results1" type="6" refreshedVersion="8" background="1" saveData="1">
    <textPr prompt="0" sourceFile="C:\Users\raane\Documents\Uni\Master\KBE\Aircraft selfmade\new_results.txt" decimal="," thousands="." space="1" delimiter="O">
      <textFields>
        <textField/>
      </textFields>
    </textPr>
  </connection>
  <connection id="13" xr16:uid="{9CD09AFA-EA2F-4A97-AA1B-A8DEAA585E7A}" name="new_results10" type="6" refreshedVersion="8" background="1" saveData="1">
    <textPr prompt="0" sourceFile="C:\Users\raane\Documents\Uni\Master\KBE\Aircraft selfmade\new_results.txt" decimal="," thousands="." delimiter="O">
      <textFields>
        <textField/>
      </textFields>
    </textPr>
  </connection>
  <connection id="14" xr16:uid="{1BBB2643-BBFA-4506-A370-2B961B4137F0}" name="new_results11" type="6" refreshedVersion="8" background="1" saveData="1">
    <textPr prompt="0" sourceFile="C:\Users\raane\Documents\Uni\Master\KBE\Aircraft selfmade\new_results.txt" decimal="," thousands="." delimiter="O">
      <textFields>
        <textField/>
      </textFields>
    </textPr>
  </connection>
  <connection id="15" xr16:uid="{0334705A-9F5B-4613-A09D-3956C8AD8B83}" name="new_results12" type="6" refreshedVersion="8" background="1" saveData="1">
    <textPr prompt="0" sourceFile="C:\Users\raane\Documents\Uni\Master\KBE\Aircraft selfmade\new_results.txt" decimal="," thousands="." tab="0" semicolon="1" delimiter="O">
      <textFields>
        <textField/>
      </textFields>
    </textPr>
  </connection>
  <connection id="16" xr16:uid="{8C7BE5E4-25D3-411B-BC88-882433A8EA7E}" name="new_results13" type="6" refreshedVersion="8" background="1" saveData="1">
    <textPr prompt="0" sourceFile="C:\Users\raane\Documents\Uni\Master\KBE\Aircraft selfmade\new_results.txt" decimal="," thousands="." tab="0" semicolon="1" delimiter="O">
      <textFields>
        <textField/>
      </textFields>
    </textPr>
  </connection>
  <connection id="17" xr16:uid="{C0471559-CE0D-4A7F-AC1C-28CE8272D541}" name="new_results14" type="6" refreshedVersion="8" background="1" saveData="1">
    <textPr prompt="0" sourceFile="C:\Users\raane\Documents\Uni\Master\KBE\Aircraft selfmade\new_results.txt" decimal="," thousands="." semicolon="1" delimiter="O">
      <textFields>
        <textField/>
      </textFields>
    </textPr>
  </connection>
  <connection id="18" xr16:uid="{954BBC28-E853-40F1-835E-F7F9FEDE3615}" name="new_results15" type="6" refreshedVersion="8" background="1" saveData="1">
    <textPr prompt="0" sourceFile="C:\Users\raane\Documents\Uni\Master\KBE\Aircraft selfmade\new_results.txt" decimal="," thousands="." space="1" comma="1" semicolon="1" consecutive="1" delimiter="W">
      <textFields>
        <textField/>
      </textFields>
    </textPr>
  </connection>
  <connection id="19" xr16:uid="{A86B678E-7ED6-4D0A-B31E-328BEE9BEB8D}" name="new_results16" type="6" refreshedVersion="8" background="1" saveData="1">
    <textPr prompt="0" sourceFile="C:\Users\raane\Documents\Uni\Master\KBE\Aircraft selfmade\new_results.txt" decimal="," thousands="." tab="0" semicolon="1" delimiter="O">
      <textFields>
        <textField/>
      </textFields>
    </textPr>
  </connection>
  <connection id="20" xr16:uid="{5414B382-90F6-47C5-8A7B-08CAF920754B}" name="new_results17" type="6" refreshedVersion="8" background="1" saveData="1">
    <textPr prompt="0" sourceFile="C:\Users\raane\Documents\Uni\Master\KBE\Aircraft selfmade\new_results.txt" tab="0" semicolon="1" delimiter="O">
      <textFields>
        <textField/>
      </textFields>
    </textPr>
  </connection>
  <connection id="21" xr16:uid="{06985788-1107-4CFA-BB7C-3BB40987E07C}" name="new_results18" type="6" refreshedVersion="8" background="1" saveData="1">
    <textPr prompt="0" sourceFile="C:\Users\raane\Documents\Uni\Master\KBE\Aircraft selfmade\new_results.txt" tab="0" semicolon="1" delimiter="O">
      <textFields>
        <textField/>
      </textFields>
    </textPr>
  </connection>
  <connection id="22" xr16:uid="{4A2E5855-9338-4DED-AEF6-AF39B2B371E2}" name="new_results19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23" xr16:uid="{4F5A3D41-7C05-4584-AE5E-8D7C1E7F3FB1}" name="new_results2" type="6" refreshedVersion="8" background="1" saveData="1">
    <textPr prompt="0" sourceFile="C:\Users\raane\Documents\Uni\Master\KBE\Aircraft selfmade\new_results.txt" decimal="," thousands="." space="1" delimiter="O">
      <textFields>
        <textField/>
      </textFields>
    </textPr>
  </connection>
  <connection id="24" xr16:uid="{901F2DB8-8060-4B6A-AE97-6E35B39603FE}" name="new_results20" type="6" refreshedVersion="8" background="1" saveData="1">
    <textPr prompt="0" sourceFile="C:\Users\raane\Documents\Uni\Master\KBE\Aircraft selfmade\new_results.txt" tab="0" delimiter="F">
      <textFields>
        <textField/>
      </textFields>
    </textPr>
  </connection>
  <connection id="25" xr16:uid="{B4DA6F00-CA8F-4E7B-948E-A2EDEEC9731A}" name="new_results21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26" xr16:uid="{465FF670-29BA-4289-B6FC-1B8E9510210C}" name="new_results22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27" xr16:uid="{C1457D92-4D6F-44A6-A137-DC72DBF068DF}" name="new_results23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28" xr16:uid="{5CECEB8D-1A9F-496B-99C7-B5F6F7FCC7C4}" name="new_results24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29" xr16:uid="{CD9592DA-0A62-4D61-B01B-EEF01E150E79}" name="new_results25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30" xr16:uid="{0C0909A7-25DA-4921-A6A7-EF0463B96585}" name="new_results26" type="6" refreshedVersion="8" background="1" saveData="1">
    <textPr prompt="0" sourceFile="C:\Users\raane\Documents\Uni\Master\KBE\Aircraft selfmade\new_results.txt" tab="0" semicolon="1" delimiter="F">
      <textFields>
        <textField/>
      </textFields>
    </textPr>
  </connection>
  <connection id="31" xr16:uid="{D13BF829-F83F-4808-8AAF-C20569376E98}" name="new_results3" type="6" refreshedVersion="8" background="1" saveData="1">
    <textPr prompt="0" sourceFile="C:\Users\raane\Documents\Uni\Master\KBE\Aircraft selfmade\new_results.txt" decimal="," thousands="." space="1" delimiter="O">
      <textFields>
        <textField/>
      </textFields>
    </textPr>
  </connection>
  <connection id="32" xr16:uid="{87A8DD01-AFCD-46E6-8C1C-60C1EBF10124}" name="new_results4" type="6" refreshedVersion="8" background="1" saveData="1">
    <textPr prompt="0" sourceFile="C:\Users\raane\Documents\Uni\Master\KBE\Aircraft selfmade\new_results.txt" decimal="," thousands="." space="1" comma="1" delimiter="W">
      <textFields>
        <textField/>
      </textFields>
    </textPr>
  </connection>
  <connection id="33" xr16:uid="{55C45553-504D-4DCB-8751-7226D9F6FD14}" name="new_results5" type="6" refreshedVersion="8" background="1" saveData="1">
    <textPr prompt="0" sourceFile="C:\Users\raane\Documents\Uni\Master\KBE\Aircraft selfmade\new_results.txt" decimal="," thousands="." comma="1" delimiter="W">
      <textFields>
        <textField/>
      </textFields>
    </textPr>
  </connection>
  <connection id="34" xr16:uid="{BDFEDE22-2FE8-4524-91D1-E179E85E8453}" name="new_results6" type="6" refreshedVersion="8" background="1" saveData="1">
    <textPr prompt="0" sourceFile="C:\Users\raane\Documents\Uni\Master\KBE\Aircraft selfmade\new_results.txt" decimal="," thousands="." tab="0" delimiter="O">
      <textFields>
        <textField/>
      </textFields>
    </textPr>
  </connection>
  <connection id="35" xr16:uid="{823F6315-CD36-4E26-9C20-A6743D3F95E8}" name="new_results7" type="6" refreshedVersion="8" background="1" saveData="1">
    <textPr prompt="0" sourceFile="C:\Users\raane\Documents\Uni\Master\KBE\Aircraft selfmade\new_results.txt" decimal="," thousands="." tab="0" space="1" delimiter="O">
      <textFields>
        <textField/>
      </textFields>
    </textPr>
  </connection>
  <connection id="36" xr16:uid="{B08BDBE9-23DE-4E27-B0F4-F473345B9704}" name="new_results8" type="6" refreshedVersion="8" background="1" saveData="1">
    <textPr prompt="0" sourceFile="C:\Users\raane\Documents\Uni\Master\KBE\Aircraft selfmade\new_results.txt" decimal="," thousands="." tab="0" consecutive="1" delimiter="O">
      <textFields>
        <textField/>
      </textFields>
    </textPr>
  </connection>
  <connection id="37" xr16:uid="{A32345BC-170B-431D-A049-9F8282B47338}" name="new_results9" type="6" refreshedVersion="8" background="1" saveData="1">
    <textPr prompt="0" sourceFile="C:\Users\raane\Documents\Uni\Master\KBE\Aircraft selfmade\new_results.txt" decimal="," thousands="." tab="0" consecutive="1" delimiter="O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<sst xmlns="http://schemas.openxmlformats.org/spreadsheetml/2006/main" count="268" uniqueCount="98">
  <si>
    <t>Parameters</t>
  </si>
  <si>
    <t>Inputs</t>
  </si>
  <si>
    <t>Unit</t>
  </si>
  <si>
    <t>wing airfoil root</t>
  </si>
  <si>
    <t>wing airfoil middle</t>
  </si>
  <si>
    <t>wing airfoil tip</t>
  </si>
  <si>
    <t>wing root chord</t>
  </si>
  <si>
    <t>wing middle chord</t>
  </si>
  <si>
    <t>wing tip chord</t>
  </si>
  <si>
    <t>Mach</t>
  </si>
  <si>
    <t>main avl analysis</t>
  </si>
  <si>
    <t>Main directory:</t>
  </si>
  <si>
    <t>Local paths to the corresponding files:</t>
  </si>
  <si>
    <t>Enter local path to your python directory (without ""):</t>
  </si>
  <si>
    <t>python311 directory</t>
  </si>
  <si>
    <t>AVL SETTINGS</t>
  </si>
  <si>
    <t>Case 1</t>
  </si>
  <si>
    <t>Case 2</t>
  </si>
  <si>
    <t>0.5</t>
  </si>
  <si>
    <t>CASE NR</t>
  </si>
  <si>
    <t>CASE TYPE</t>
  </si>
  <si>
    <t>Fixed CL</t>
  </si>
  <si>
    <t>Fixed aoa</t>
  </si>
  <si>
    <t>Totals:</t>
  </si>
  <si>
    <t>Stable?</t>
  </si>
  <si>
    <t>Case name = fixed_aoa</t>
  </si>
  <si>
    <t>Stability derivatives:</t>
  </si>
  <si>
    <t>Output file for the AVL analysis</t>
  </si>
  <si>
    <t>CYtot</t>
  </si>
  <si>
    <t>Cmtot</t>
  </si>
  <si>
    <t>CZtot</t>
  </si>
  <si>
    <t>Cntot</t>
  </si>
  <si>
    <t>CLtot</t>
  </si>
  <si>
    <t>CDtot</t>
  </si>
  <si>
    <t>CDind</t>
  </si>
  <si>
    <t>CLff</t>
  </si>
  <si>
    <t>CLa</t>
  </si>
  <si>
    <t>CLb</t>
  </si>
  <si>
    <t>CYa</t>
  </si>
  <si>
    <t>CYb</t>
  </si>
  <si>
    <t>Cla</t>
  </si>
  <si>
    <t>Clb</t>
  </si>
  <si>
    <t>Cma</t>
  </si>
  <si>
    <t>Cmb</t>
  </si>
  <si>
    <t>Cna</t>
  </si>
  <si>
    <t>Cnb</t>
  </si>
  <si>
    <t>CLp</t>
  </si>
  <si>
    <t>CLq</t>
  </si>
  <si>
    <t>CLr</t>
  </si>
  <si>
    <t>CYp</t>
  </si>
  <si>
    <t>CYq</t>
  </si>
  <si>
    <t>CYr</t>
  </si>
  <si>
    <t>Clp</t>
  </si>
  <si>
    <t>Clq</t>
  </si>
  <si>
    <t>Clr</t>
  </si>
  <si>
    <t>Cmp</t>
  </si>
  <si>
    <t>Cmq</t>
  </si>
  <si>
    <t>Cmr</t>
  </si>
  <si>
    <t>Cnp</t>
  </si>
  <si>
    <t>Cnq</t>
  </si>
  <si>
    <t>Cnr</t>
  </si>
  <si>
    <t>Xnp</t>
  </si>
  <si>
    <t>Case 3</t>
  </si>
  <si>
    <t>Case 4</t>
  </si>
  <si>
    <t>Case 5</t>
  </si>
  <si>
    <t>eigenvalues long;</t>
  </si>
  <si>
    <t>eigenvalues lat;</t>
  </si>
  <si>
    <t>Output file for the dynamic stability</t>
  </si>
  <si>
    <t>Stability derivatives</t>
  </si>
  <si>
    <t>Dynamic stability</t>
  </si>
  <si>
    <t>-33.68571310192756+0j</t>
  </si>
  <si>
    <t>-1.251457268081023+2.5795024443880883j</t>
  </si>
  <si>
    <t>-1.251457268081023-2.5795024443880883j</t>
  </si>
  <si>
    <t>0.06790656261879045+0j</t>
  </si>
  <si>
    <t>-33.632442839301945+0j</t>
  </si>
  <si>
    <t>-1.2803050805609808+2.5739770321468205j</t>
  </si>
  <si>
    <t>-1.2803050805609808-2.5739770321468205j</t>
  </si>
  <si>
    <t>0.09257340017176698+0j</t>
  </si>
  <si>
    <t>-33.57587101550408+0j</t>
  </si>
  <si>
    <t>-1.3083202635179108+2.5704099187970244j</t>
  </si>
  <si>
    <t>-1.3083202635179108-2.5704099187970244j</t>
  </si>
  <si>
    <t>0.11701926590299881+0j</t>
  </si>
  <si>
    <t>-33.5164883938536+0j</t>
  </si>
  <si>
    <t>-1.3352249465685029+2.5687901852075083j</t>
  </si>
  <si>
    <t>-1.3352249465685029-2.5687901852075083j</t>
  </si>
  <si>
    <t>0.14114719111166912+0j</t>
  </si>
  <si>
    <t>-33.454792795643016+0j</t>
  </si>
  <si>
    <t>-1.3607487242365477+2.569099880337827j</t>
  </si>
  <si>
    <t>-1.3607487242365477-2.569099880337827j</t>
  </si>
  <si>
    <t>0.1648781890535064+0j</t>
  </si>
  <si>
    <t xml:space="preserve">longitudinal </t>
  </si>
  <si>
    <t>Lateral</t>
  </si>
  <si>
    <t>C:\Users\raane\Documents\Uni\Master\KBE\Year2\Tutorials\Project\KBE</t>
  </si>
  <si>
    <t>ENTER MAIN DIRECTORY (without "..."):</t>
  </si>
  <si>
    <t>C:/Users/raane/Documents/Uni/Master/KBE/pythonProject/.venv/Scripts/python.exe</t>
  </si>
  <si>
    <t>Case type</t>
  </si>
  <si>
    <t>Air density</t>
  </si>
  <si>
    <t>Case setting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</si>
</sst>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11"/>
      <color theme="1"/>
      <name val="aptos narrow"/>
      <scheme val="minor"/>
    </font>
    <font>
      <sz val="11"/>
      <color theme="1"/>
      <name val="aptos narrow"/>
      <family val="2"/>
    </font>
    <font>
      <sz val="22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20"/>
      <color rgb="FF000000"/>
      <name val="Aptos Narrow"/>
      <family val="2"/>
    </font>
    <font>
      <sz val="10"/>
      <color rgb="FFBCBEC4"/>
      <name val="JetBrains Mono"/>
      <family val="3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45B0E1"/>
        <bgColor rgb="FF45B0E1"/>
      </patternFill>
    </fill>
    <fill>
      <patternFill patternType="solid">
        <fgColor rgb="FFF6C6AC"/>
        <bgColor rgb="FFF6C6AC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9" fillId="2" borderId="1" xfId="0" applyFont="1" applyFill="1" applyBorder="1" applyAlignment="1">
      <alignment horizontal="right"/>
    </xf>
    <xf numFmtId="0" fontId="9" fillId="2" borderId="2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0" fillId="2" borderId="3" xfId="0" applyFont="1" applyFill="1" applyBorder="1"/>
    <xf numFmtId="0" fontId="10" fillId="2" borderId="1" xfId="0" applyFont="1" applyFill="1" applyBorder="1"/>
    <xf numFmtId="0" fontId="9" fillId="0" borderId="0" xfId="0" applyFont="1"/>
    <xf numFmtId="0" fontId="10" fillId="0" borderId="4" xfId="0" applyFont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1" fillId="0" borderId="0" xfId="0" applyFont="1"/>
    <xf numFmtId="0" fontId="9" fillId="0" borderId="4" xfId="0" applyFont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7" fillId="0" borderId="0" xfId="0" applyFont="1"/>
    <xf numFmtId="0" fontId="0" fillId="0" borderId="7" xfId="0" applyBorder="1" applyAlignment="1">
      <alignment horizontal="center"/>
    </xf>
    <xf numFmtId="0" fontId="18" fillId="0" borderId="0" xfId="0" applyFont="1" applyAlignment="1">
      <alignment vertical="center"/>
    </xf>
    <xf numFmtId="0" fontId="0" fillId="0" borderId="18" xfId="0" applyBorder="1"/>
    <xf numFmtId="0" fontId="14" fillId="0" borderId="0" xfId="0" applyFont="1"/>
    <xf numFmtId="0" fontId="14" fillId="0" borderId="16" xfId="0" applyFont="1" applyBorder="1" applyAlignment="1">
      <alignment horizontal="center"/>
    </xf>
    <xf numFmtId="0" fontId="5" fillId="0" borderId="19" xfId="0" applyFont="1" applyBorder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19" fillId="0" borderId="0" xfId="0" applyFont="1"/>
    <xf numFmtId="0" fontId="5" fillId="0" borderId="0" xfId="0" applyFont="1" applyAlignment="1">
      <alignment horizontal="center"/>
    </xf>
    <xf numFmtId="0" fontId="14" fillId="0" borderId="9" xfId="0" applyFont="1" applyBorder="1"/>
    <xf numFmtId="0" fontId="14" fillId="0" borderId="11" xfId="0" applyFont="1" applyBorder="1"/>
    <xf numFmtId="0" fontId="0" fillId="0" borderId="12" xfId="0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3" fillId="0" borderId="8" xfId="0" applyFont="1" applyBorder="1" applyAlignment="1">
      <alignment horizontal="center"/>
    </xf>
    <xf numFmtId="0" fontId="11" fillId="0" borderId="19" xfId="0" applyFont="1" applyBorder="1"/>
    <xf numFmtId="0" fontId="7" fillId="0" borderId="19" xfId="0" applyFont="1" applyBorder="1"/>
    <xf numFmtId="2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11" fontId="0" fillId="0" borderId="0" xfId="0" applyNumberFormat="1"/>
    <xf numFmtId="0" fontId="14" fillId="0" borderId="9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Border="1"/>
    <xf numFmtId="0" fontId="6" fillId="0" borderId="0" xfId="0" applyFont="1" applyBorder="1" applyAlignment="1">
      <alignment horizontal="left"/>
    </xf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0" fillId="0" borderId="7" xfId="0" applyBorder="1"/>
    <xf numFmtId="0" fontId="14" fillId="0" borderId="0" xfId="0" applyFont="1" applyBorder="1" applyAlignment="1">
      <alignment horizontal="center"/>
    </xf>
    <xf numFmtId="0" fontId="14" fillId="0" borderId="0" xfId="0" applyFont="1" applyBorder="1"/>
    <xf numFmtId="0" fontId="9" fillId="0" borderId="0" xfId="0" applyFont="1" applyBorder="1"/>
    <xf numFmtId="0" fontId="11" fillId="0" borderId="0" xfId="0" applyFont="1" applyBorder="1" applyAlignment="1">
      <alignment horizontal="center"/>
    </xf>
    <xf numFmtId="0" fontId="7" fillId="0" borderId="0" xfId="0" applyFont="1" applyBorder="1"/>
    <xf numFmtId="0" fontId="12" fillId="0" borderId="0" xfId="0" applyFont="1" applyBorder="1"/>
    <xf numFmtId="0" fontId="15" fillId="0" borderId="0" xfId="0" applyFont="1" applyBorder="1"/>
    <xf numFmtId="0" fontId="16" fillId="0" borderId="0" xfId="0" applyFont="1" applyBorder="1"/>
    <xf numFmtId="0" fontId="10" fillId="0" borderId="7" xfId="0" applyFont="1" applyBorder="1" applyAlignment="1">
      <alignment horizontal="center"/>
    </xf>
    <xf numFmtId="0" fontId="15" fillId="0" borderId="7" xfId="0" applyFont="1" applyBorder="1"/>
    <xf numFmtId="0" fontId="11" fillId="0" borderId="16" xfId="0" applyFont="1" applyBorder="1"/>
    <xf numFmtId="0" fontId="11" fillId="0" borderId="10" xfId="0" applyFont="1" applyBorder="1"/>
    <xf numFmtId="0" fontId="8" fillId="0" borderId="1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/>
    <xf numFmtId="0" fontId="2" fillId="0" borderId="0" xfId="0" applyFont="1" applyBorder="1"/>
    <xf numFmtId="0" fontId="7" fillId="0" borderId="0" xfId="0" applyFont="1" applyBorder="1" applyAlignment="1">
      <alignment horizontal="center"/>
    </xf>
    <xf numFmtId="0" fontId="2" fillId="0" borderId="10" xfId="0" applyFont="1" applyBorder="1"/>
    <xf numFmtId="0" fontId="1" fillId="0" borderId="19" xfId="0" applyFont="1" applyBorder="1"/>
    <xf numFmtId="0" fontId="1" fillId="0" borderId="0" xfId="0" applyFont="1"/>
    <xf numFmtId="0" fontId="22" fillId="0" borderId="0" xfId="0" applyFont="1"/>
  </cellXfs>
  <cellStyles count="1"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customschemas.google.com/relationships/workbookmetadata" Target="metadata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312420</xdr:colOff>
          <xdr:row>16</xdr:row>
          <xdr:rowOff>76200</xdr:rowOff>
        </xdr:from>
        <xdr:to>
          <xdr:col>16</xdr:col>
          <xdr:colOff>76200</xdr:colOff>
          <xdr:row>20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NL" sz="2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77</xdr:row>
          <xdr:rowOff>22860</xdr:rowOff>
        </xdr:from>
        <xdr:to>
          <xdr:col>1</xdr:col>
          <xdr:colOff>929640</xdr:colOff>
          <xdr:row>80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NL" sz="2000" b="0" i="0" u="none" strike="noStrike" baseline="0">
                  <a:solidFill>
                    <a:srgbClr val="000000"/>
                  </a:solidFill>
                  <a:latin typeface="Aptos Narrow"/>
                </a:rPr>
                <a:t>Open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6" xr16:uid="{B2E5E491-626E-4EC5-868B-64E088A78B49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9" xr16:uid="{423B29D4-C5BC-4B3F-8551-9B5E11CBDB8F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8" xr16:uid="{D931EC9E-1C50-4A44-8B9F-9F3B47757BD4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3" xr16:uid="{9DD4BE5C-9DCA-47C5-8424-B457F4A7A0FD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B70964E7-48A0-49C7-A3A2-B631B1A4E9BE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5" xr16:uid="{8195B9D6-45EA-46F6-9912-EC63524CB08F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7" xr16:uid="{075D19EC-7BA5-4185-ACA0-B1D4C3EF72F1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" xr16:uid="{B149A0EE-7A15-4AB3-98DB-A2A48EDC1A5F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6" xr16:uid="{797E949C-4518-403E-B802-3D4F41227E0F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30" xr16:uid="{B2671219-C3A1-4E45-9C69-CED43093DFF3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14" xr16:uid="{B6AC245A-DEF5-425C-AE99-50BAD1A4D5CE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9" xr16:uid="{6FF08DEE-7091-45CD-9CBB-F8E9BE535A7D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298D6B99-221E-4B82-A825-8EBABB755686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1" xr16:uid="{5D75ADD5-0803-4E2D-BA9C-704DC99D1683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1" xr16:uid="{B7CD989C-CA98-4EFD-97F5-9331C125164C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A7B18E5A-075B-4373-865C-22E7AE443A7A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4" xr16:uid="{8061F9EF-FF29-4E74-985D-1FE92CFA9033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7" xr16:uid="{27EA9871-F113-4421-AD44-DCF6E0561274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5" xr16:uid="{9D4E6933-F3A8-4F88-A3B3-9BD8BB7BBC69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13" xr16:uid="{475D49F0-BB0A-4C6D-8FF6-951BE8827C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20" xr16:uid="{BBCFC0B0-4896-477A-8439-11D6ACE38FA9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2" xr16:uid="{B2FAC326-7325-454E-830A-797D85D062DD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7" xr16:uid="{D793FB02-F65A-46CA-A83B-F8202416F82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7D625DAA-DCBD-4EBE-8E4C-A5862E9C860C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8" xr16:uid="{D5C0E87F-E1A1-4690-B4AA-0B890B767C4C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4" xr16:uid="{4A90356E-3B5A-47E0-AA80-3951CE57EFB8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5" xr16:uid="{C3670413-7F2B-4F4F-9F95-34BF9EC555D5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6" xr16:uid="{81233809-E848-4497-922D-EEEDC55A58A9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9" xr16:uid="{1387E97E-95E1-4B5E-9476-56212500F653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46D6F7-6245-440B-BE0D-28CD42485104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6FB68B0C-BD5E-40E8-BDC1-E1CC10D4ECF8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" xr16:uid="{5A229DED-A5AB-4188-A07E-43E961C13832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74D8492F-F918-4A95-989E-17942E34589B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299E5913-C0FB-427D-9AF1-C8585617F5FE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0" xr16:uid="{6E75030A-B5B0-4464-9CFE-03F4C2A90EBA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88574317-D364-48AF-A54A-16CC40608A17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3C1A2910-5961-4772-9672-68A51726AA8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6.xml"/><Relationship Id="rId3" Type="http://schemas.openxmlformats.org/officeDocument/2006/relationships/queryTable" Target="../queryTables/queryTable31.xml"/><Relationship Id="rId7" Type="http://schemas.openxmlformats.org/officeDocument/2006/relationships/queryTable" Target="../queryTables/queryTable35.xml"/><Relationship Id="rId2" Type="http://schemas.openxmlformats.org/officeDocument/2006/relationships/queryTable" Target="../queryTables/queryTable30.xml"/><Relationship Id="rId1" Type="http://schemas.openxmlformats.org/officeDocument/2006/relationships/queryTable" Target="../queryTables/queryTable29.xml"/><Relationship Id="rId6" Type="http://schemas.openxmlformats.org/officeDocument/2006/relationships/queryTable" Target="../queryTables/queryTable34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Relationship Id="rId9" Type="http://schemas.openxmlformats.org/officeDocument/2006/relationships/queryTable" Target="../queryTables/queryTable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1"/>
  <sheetViews>
    <sheetView tabSelected="1" workbookViewId="0">
      <selection activeCell="A5" sqref="A5"/>
    </sheetView>
  </sheetViews>
  <sheetFormatPr defaultColWidth="12.6640625" defaultRowHeight="15" customHeight="1"/>
  <cols>
    <col min="1" max="1" width="29.109375" customWidth="1"/>
    <col min="2" max="2" width="14.21875" customWidth="1"/>
    <col min="3" max="3" width="7.77734375" customWidth="1"/>
    <col min="4" max="4" width="7.6640625" customWidth="1"/>
    <col min="5" max="5" width="24.109375" customWidth="1"/>
    <col min="6" max="6" width="16.44140625" style="21" customWidth="1"/>
    <col min="7" max="7" width="4.109375" customWidth="1"/>
    <col min="8" max="8" width="8.33203125" customWidth="1"/>
    <col min="9" max="9" width="10.21875" customWidth="1"/>
    <col min="10" max="26" width="7.6640625" customWidth="1"/>
  </cols>
  <sheetData>
    <row r="1" spans="1:26" ht="14.25" customHeight="1">
      <c r="A1" s="1" t="s">
        <v>0</v>
      </c>
      <c r="B1" s="2" t="s">
        <v>1</v>
      </c>
      <c r="C1" s="3" t="s">
        <v>2</v>
      </c>
      <c r="D1" s="4"/>
      <c r="E1" s="5"/>
      <c r="F1" s="30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4.25" customHeight="1">
      <c r="A2" s="86" t="s">
        <v>6</v>
      </c>
      <c r="B2" s="7">
        <v>7</v>
      </c>
      <c r="C2" s="8"/>
    </row>
    <row r="3" spans="1:26" ht="14.25" customHeight="1">
      <c r="A3" s="85" t="s">
        <v>7</v>
      </c>
      <c r="B3" s="7">
        <v>4</v>
      </c>
      <c r="C3" s="8"/>
      <c r="F3" s="55" t="s">
        <v>93</v>
      </c>
      <c r="G3" s="53"/>
      <c r="H3" s="53"/>
      <c r="I3" s="53"/>
      <c r="J3" s="53"/>
      <c r="K3" s="53"/>
      <c r="L3" s="53"/>
      <c r="M3" s="53"/>
      <c r="N3" s="53"/>
      <c r="O3" s="53"/>
      <c r="P3" s="54"/>
    </row>
    <row r="4" spans="1:26" ht="14.25" customHeight="1">
      <c r="A4" s="85" t="s">
        <v>8</v>
      </c>
      <c r="B4" s="7">
        <v>1.5</v>
      </c>
      <c r="C4" s="8"/>
      <c r="E4" s="34" t="s">
        <v>11</v>
      </c>
      <c r="F4" s="77" t="s">
        <v>92</v>
      </c>
      <c r="G4" s="53"/>
      <c r="H4" s="53"/>
      <c r="I4" s="53"/>
      <c r="J4" s="53"/>
      <c r="K4" s="53"/>
      <c r="L4" s="53"/>
      <c r="M4" s="53"/>
      <c r="N4" s="53"/>
      <c r="O4" s="53"/>
      <c r="P4" s="54"/>
    </row>
    <row r="5" spans="1:26" ht="14.25" customHeight="1">
      <c r="B5" s="7"/>
      <c r="C5" s="8"/>
    </row>
    <row r="6" spans="1:26" ht="14.25" customHeight="1">
      <c r="A6" s="6"/>
      <c r="B6" s="7"/>
      <c r="C6" s="8"/>
      <c r="F6" s="41" t="s">
        <v>12</v>
      </c>
      <c r="G6" s="42"/>
      <c r="H6" s="42"/>
      <c r="I6" s="42"/>
      <c r="J6" s="42"/>
      <c r="K6" s="42"/>
      <c r="L6" s="42"/>
      <c r="M6" s="42"/>
      <c r="N6" s="42"/>
      <c r="O6" s="42"/>
      <c r="P6" s="43"/>
    </row>
    <row r="7" spans="1:26" ht="14.25" customHeight="1">
      <c r="A7" s="9"/>
      <c r="B7" s="7"/>
      <c r="C7" s="8"/>
      <c r="E7" s="33" t="s">
        <v>3</v>
      </c>
      <c r="F7" s="44" t="str">
        <f>F4&amp;"\whitcomb.dat"</f>
        <v>C:\Users\raane\Documents\Uni\Master\KBE\Year2\Tutorials\Project\KBE\whitcomb.dat</v>
      </c>
      <c r="G7" s="45"/>
      <c r="H7" s="45"/>
      <c r="I7" s="45"/>
      <c r="J7" s="45"/>
      <c r="K7" s="45"/>
      <c r="L7" s="45"/>
      <c r="M7" s="45"/>
      <c r="N7" s="45"/>
      <c r="O7" s="45"/>
      <c r="P7" s="46"/>
    </row>
    <row r="8" spans="1:26" ht="14.25" customHeight="1">
      <c r="A8" s="9"/>
      <c r="B8" s="7"/>
      <c r="C8" s="8"/>
      <c r="E8" s="33" t="s">
        <v>4</v>
      </c>
      <c r="F8" s="47" t="str">
        <f>F4&amp;"\whitcomb.dat"</f>
        <v>C:\Users\raane\Documents\Uni\Master\KBE\Year2\Tutorials\Project\KBE\whitcomb.dat</v>
      </c>
      <c r="G8" s="48"/>
      <c r="H8" s="48"/>
      <c r="I8" s="48"/>
      <c r="J8" s="48"/>
      <c r="K8" s="48"/>
      <c r="L8" s="48"/>
      <c r="M8" s="48"/>
      <c r="N8" s="48"/>
      <c r="O8" s="48"/>
      <c r="P8" s="49"/>
    </row>
    <row r="9" spans="1:26" ht="14.25" customHeight="1">
      <c r="A9" s="9"/>
      <c r="B9" s="7"/>
      <c r="C9" s="8"/>
      <c r="E9" s="74" t="s">
        <v>5</v>
      </c>
      <c r="F9" s="47" t="str">
        <f>F4&amp;"\whitcomb.dat"</f>
        <v>C:\Users\raane\Documents\Uni\Master\KBE\Year2\Tutorials\Project\KBE\whitcomb.dat</v>
      </c>
      <c r="G9" s="48"/>
      <c r="H9" s="48"/>
      <c r="I9" s="48"/>
      <c r="J9" s="48"/>
      <c r="K9" s="48"/>
      <c r="L9" s="48"/>
      <c r="M9" s="48"/>
      <c r="N9" s="48"/>
      <c r="O9" s="48"/>
      <c r="P9" s="49"/>
    </row>
    <row r="10" spans="1:26" ht="14.25" customHeight="1">
      <c r="B10" s="7"/>
      <c r="C10" s="8"/>
      <c r="E10" s="75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</row>
    <row r="11" spans="1:26" ht="14.25" customHeight="1">
      <c r="A11" s="9"/>
      <c r="B11" s="7"/>
      <c r="C11" s="8"/>
      <c r="F11" s="38" t="s">
        <v>13</v>
      </c>
      <c r="G11" s="39"/>
      <c r="H11" s="39"/>
      <c r="I11" s="39"/>
      <c r="J11" s="39"/>
      <c r="K11" s="39"/>
      <c r="L11" s="39"/>
      <c r="M11" s="39"/>
      <c r="N11" s="39"/>
      <c r="O11" s="39"/>
      <c r="P11" s="40"/>
    </row>
    <row r="12" spans="1:26" ht="14.25" customHeight="1">
      <c r="A12" s="9"/>
      <c r="B12" s="7"/>
      <c r="C12" s="8"/>
      <c r="E12" s="34" t="s">
        <v>14</v>
      </c>
      <c r="F12" s="77" t="s">
        <v>94</v>
      </c>
      <c r="G12" s="78"/>
      <c r="H12" s="78"/>
      <c r="I12" s="78"/>
      <c r="J12" s="78"/>
      <c r="K12" s="78"/>
      <c r="L12" s="78"/>
      <c r="M12" s="78"/>
      <c r="N12" s="78"/>
      <c r="O12" s="78"/>
      <c r="P12" s="79"/>
    </row>
    <row r="13" spans="1:26" ht="14.25" customHeight="1">
      <c r="B13" s="7"/>
      <c r="C13" s="8"/>
      <c r="E13" s="80" t="s">
        <v>10</v>
      </c>
      <c r="F13" s="50" t="str">
        <f>F4&amp;"\main_wing_app.py"</f>
        <v>C:\Users\raane\Documents\Uni\Master\KBE\Year2\Tutorials\Project\KBE\main_wing_app.py</v>
      </c>
      <c r="G13" s="51"/>
      <c r="H13" s="51"/>
      <c r="I13" s="51"/>
      <c r="J13" s="51"/>
      <c r="K13" s="51"/>
      <c r="L13" s="51"/>
      <c r="M13" s="51"/>
      <c r="N13" s="51"/>
      <c r="O13" s="51"/>
      <c r="P13" s="52"/>
    </row>
    <row r="14" spans="1:26" ht="14.25" customHeight="1">
      <c r="A14" s="9"/>
      <c r="B14" s="7"/>
      <c r="C14" s="8"/>
      <c r="E14" s="83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1:26" ht="14.25" customHeight="1">
      <c r="A15" s="9"/>
      <c r="B15" s="7"/>
      <c r="C15" s="8"/>
      <c r="E15" s="81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</row>
    <row r="16" spans="1:26" ht="14.25" customHeight="1">
      <c r="A16" s="9"/>
      <c r="B16" s="7"/>
      <c r="C16" s="8"/>
      <c r="F16" s="31"/>
      <c r="G16" s="14"/>
    </row>
    <row r="17" spans="1:9" ht="14.25" customHeight="1">
      <c r="B17" s="7"/>
      <c r="C17" s="8"/>
    </row>
    <row r="18" spans="1:9" ht="14.25" customHeight="1">
      <c r="A18" s="9"/>
      <c r="B18" s="7"/>
      <c r="C18" s="8"/>
      <c r="F18" s="19" t="s">
        <v>15</v>
      </c>
      <c r="G18" s="18"/>
      <c r="H18" s="26" t="s">
        <v>19</v>
      </c>
      <c r="I18" s="27" t="s">
        <v>20</v>
      </c>
    </row>
    <row r="19" spans="1:9" ht="14.25" customHeight="1">
      <c r="A19" s="9"/>
      <c r="B19" s="7"/>
      <c r="C19" s="8"/>
      <c r="E19" s="20" t="s">
        <v>9</v>
      </c>
      <c r="F19" s="23" t="s">
        <v>18</v>
      </c>
      <c r="H19" s="15">
        <v>1</v>
      </c>
      <c r="I19" s="32" t="s">
        <v>21</v>
      </c>
    </row>
    <row r="20" spans="1:9" ht="14.25" customHeight="1">
      <c r="A20" s="9"/>
      <c r="B20" s="7"/>
      <c r="C20" s="8"/>
      <c r="E20" s="84" t="s">
        <v>95</v>
      </c>
      <c r="F20" s="22">
        <v>2</v>
      </c>
      <c r="H20" s="28">
        <v>2</v>
      </c>
      <c r="I20" s="29" t="s">
        <v>22</v>
      </c>
    </row>
    <row r="21" spans="1:9" ht="14.25" customHeight="1">
      <c r="A21" s="9"/>
      <c r="B21" s="7"/>
      <c r="C21" s="8"/>
      <c r="E21" s="84" t="s">
        <v>97</v>
      </c>
      <c r="F21" s="22">
        <v>5</v>
      </c>
    </row>
    <row r="22" spans="1:9" ht="14.25" customHeight="1">
      <c r="A22" s="9"/>
      <c r="B22" s="7"/>
      <c r="C22" s="8"/>
      <c r="E22" s="84" t="s">
        <v>96</v>
      </c>
      <c r="F22" s="22">
        <v>1.2</v>
      </c>
    </row>
    <row r="23" spans="1:9" ht="14.25" customHeight="1">
      <c r="B23" s="7"/>
      <c r="C23" s="8"/>
    </row>
    <row r="24" spans="1:9" ht="14.25" customHeight="1">
      <c r="A24" s="9"/>
      <c r="B24" s="7"/>
      <c r="C24" s="8"/>
    </row>
    <row r="25" spans="1:9" ht="14.25" customHeight="1">
      <c r="A25" s="9"/>
      <c r="B25" s="7"/>
      <c r="C25" s="8"/>
    </row>
    <row r="26" spans="1:9" ht="14.25" customHeight="1">
      <c r="A26" s="9"/>
      <c r="B26" s="7"/>
      <c r="C26" s="8"/>
    </row>
    <row r="27" spans="1:9" ht="14.25" customHeight="1">
      <c r="B27" s="7"/>
      <c r="C27" s="8"/>
    </row>
    <row r="28" spans="1:9" ht="14.25" customHeight="1">
      <c r="A28" s="6"/>
      <c r="B28" s="7"/>
      <c r="C28" s="8"/>
    </row>
    <row r="29" spans="1:9" ht="14.25" customHeight="1">
      <c r="A29" s="9"/>
      <c r="B29" s="7"/>
      <c r="C29" s="8"/>
    </row>
    <row r="30" spans="1:9" ht="14.25" customHeight="1">
      <c r="A30" s="9"/>
      <c r="B30" s="7"/>
      <c r="C30" s="8"/>
    </row>
    <row r="31" spans="1:9" ht="14.25" customHeight="1">
      <c r="B31" s="7"/>
      <c r="C31" s="8"/>
    </row>
    <row r="32" spans="1:9" ht="14.25" customHeight="1">
      <c r="A32" s="9"/>
      <c r="B32" s="7"/>
      <c r="C32" s="8"/>
    </row>
    <row r="33" spans="1:6" ht="14.25" customHeight="1">
      <c r="A33" s="9"/>
      <c r="B33" s="7"/>
      <c r="C33" s="8"/>
    </row>
    <row r="34" spans="1:6" ht="14.25" customHeight="1">
      <c r="B34" s="7"/>
      <c r="C34" s="8"/>
    </row>
    <row r="35" spans="1:6" ht="14.25" customHeight="1">
      <c r="A35" s="9"/>
      <c r="B35" s="7"/>
      <c r="C35" s="8"/>
      <c r="F35" s="25"/>
    </row>
    <row r="36" spans="1:6" ht="14.25" customHeight="1">
      <c r="A36" s="9"/>
      <c r="B36" s="7"/>
      <c r="C36" s="8"/>
      <c r="F36" s="25"/>
    </row>
    <row r="37" spans="1:6" ht="14.25" customHeight="1">
      <c r="A37" s="9"/>
      <c r="B37" s="7"/>
      <c r="C37" s="8"/>
    </row>
    <row r="38" spans="1:6" ht="14.25" customHeight="1">
      <c r="B38" s="7"/>
      <c r="C38" s="8"/>
    </row>
    <row r="39" spans="1:6" ht="14.25" customHeight="1">
      <c r="A39" s="9"/>
      <c r="B39" s="7"/>
      <c r="C39" s="8"/>
    </row>
    <row r="40" spans="1:6" ht="14.25" customHeight="1">
      <c r="A40" s="9"/>
      <c r="B40" s="7"/>
      <c r="C40" s="8"/>
    </row>
    <row r="41" spans="1:6" ht="14.25" customHeight="1">
      <c r="A41" s="9"/>
      <c r="B41" s="7"/>
      <c r="C41" s="8"/>
    </row>
    <row r="42" spans="1:6" ht="14.25" customHeight="1">
      <c r="A42" s="9"/>
      <c r="B42" s="7"/>
      <c r="C42" s="8"/>
    </row>
    <row r="43" spans="1:6" ht="14.25" customHeight="1">
      <c r="B43" s="7"/>
      <c r="C43" s="8"/>
    </row>
    <row r="44" spans="1:6" ht="14.25" customHeight="1">
      <c r="A44" s="6"/>
      <c r="B44" s="7"/>
      <c r="C44" s="8"/>
    </row>
    <row r="45" spans="1:6" ht="14.25" customHeight="1">
      <c r="A45" s="9"/>
      <c r="B45" s="7"/>
      <c r="C45" s="8"/>
    </row>
    <row r="46" spans="1:6" ht="14.25" customHeight="1">
      <c r="A46" s="9"/>
      <c r="B46" s="7"/>
      <c r="C46" s="8"/>
    </row>
    <row r="47" spans="1:6" ht="14.25" customHeight="1">
      <c r="B47" s="7"/>
      <c r="C47" s="8"/>
    </row>
    <row r="48" spans="1:6" ht="14.25" customHeight="1">
      <c r="A48" s="9"/>
      <c r="B48" s="7"/>
      <c r="C48" s="8"/>
    </row>
    <row r="49" spans="1:17" ht="14.25" customHeight="1">
      <c r="A49" s="9"/>
      <c r="B49" s="7"/>
      <c r="C49" s="8"/>
    </row>
    <row r="50" spans="1:17" ht="14.25" customHeight="1">
      <c r="A50" s="9"/>
      <c r="B50" s="7"/>
      <c r="C50" s="8"/>
    </row>
    <row r="51" spans="1:17" ht="14.25" customHeight="1">
      <c r="B51" s="7"/>
      <c r="C51" s="8"/>
    </row>
    <row r="52" spans="1:17" ht="14.25" customHeight="1">
      <c r="A52" s="9"/>
      <c r="B52" s="7"/>
      <c r="C52" s="8"/>
    </row>
    <row r="53" spans="1:17" ht="14.25" customHeight="1">
      <c r="A53" s="9"/>
      <c r="B53" s="7"/>
      <c r="C53" s="8"/>
    </row>
    <row r="54" spans="1:17" ht="14.25" customHeight="1">
      <c r="A54" s="9"/>
      <c r="B54" s="7"/>
      <c r="C54" s="8"/>
    </row>
    <row r="55" spans="1:17" ht="14.25" customHeight="1">
      <c r="A55" s="9"/>
      <c r="B55" s="7"/>
      <c r="C55" s="8"/>
    </row>
    <row r="56" spans="1:17" ht="14.25" customHeight="1">
      <c r="B56" s="7"/>
      <c r="C56" s="8"/>
    </row>
    <row r="57" spans="1:17" ht="14.25" customHeight="1">
      <c r="A57" s="9"/>
      <c r="B57" s="7"/>
      <c r="C57" s="8"/>
    </row>
    <row r="58" spans="1:17" ht="14.25" customHeight="1">
      <c r="A58" s="9"/>
      <c r="B58" s="7"/>
      <c r="C58" s="8"/>
      <c r="E58" s="57"/>
      <c r="F58" s="64"/>
      <c r="G58" s="57"/>
      <c r="H58" s="65"/>
      <c r="I58" s="57"/>
      <c r="J58" s="57"/>
    </row>
    <row r="59" spans="1:17" ht="14.25" customHeight="1">
      <c r="B59" s="7"/>
      <c r="C59" s="8"/>
      <c r="E59" s="66"/>
      <c r="F59" s="67"/>
      <c r="G59" s="57"/>
      <c r="H59" s="68"/>
      <c r="I59" s="57"/>
      <c r="J59" s="57"/>
    </row>
    <row r="60" spans="1:17" ht="14.25" customHeight="1">
      <c r="A60" s="6"/>
      <c r="B60" s="10"/>
      <c r="C60" s="11"/>
      <c r="E60" s="66"/>
      <c r="F60" s="67"/>
      <c r="G60" s="57"/>
      <c r="H60" s="69"/>
      <c r="I60" s="57"/>
      <c r="J60" s="57"/>
    </row>
    <row r="61" spans="1:17" ht="14.25" customHeight="1">
      <c r="A61" s="14"/>
      <c r="B61" s="7"/>
      <c r="C61" s="11"/>
      <c r="E61" s="66"/>
      <c r="F61" s="67"/>
      <c r="G61" s="57"/>
      <c r="H61" s="66"/>
      <c r="I61" s="57"/>
      <c r="J61" s="57"/>
    </row>
    <row r="62" spans="1:17" ht="14.25" customHeight="1">
      <c r="A62" s="14"/>
      <c r="B62" s="7"/>
      <c r="C62" s="11"/>
      <c r="E62" s="57"/>
      <c r="F62" s="60"/>
      <c r="G62" s="57"/>
      <c r="H62" s="57"/>
      <c r="I62" s="57"/>
      <c r="J62" s="57"/>
    </row>
    <row r="63" spans="1:17" s="60" customFormat="1" ht="14.25" customHeight="1">
      <c r="A63" s="58"/>
      <c r="B63" s="62"/>
      <c r="C63" s="11"/>
      <c r="D63" s="59"/>
      <c r="E63" s="59"/>
      <c r="F63" s="59"/>
      <c r="H63" s="59"/>
      <c r="P63" s="61"/>
      <c r="Q63" s="61"/>
    </row>
    <row r="64" spans="1:17" ht="14.25" customHeight="1">
      <c r="A64" s="24"/>
      <c r="B64" s="7"/>
      <c r="C64" s="8"/>
    </row>
    <row r="65" spans="1:26" ht="14.25" customHeight="1">
      <c r="B65" s="7"/>
      <c r="C65" s="8"/>
      <c r="E65" s="16"/>
    </row>
    <row r="66" spans="1:26" ht="14.25" customHeight="1">
      <c r="A66" s="6"/>
      <c r="B66" s="17"/>
      <c r="C66" s="8"/>
    </row>
    <row r="67" spans="1:26" ht="14.25" customHeight="1">
      <c r="A67" s="9"/>
      <c r="B67" s="7"/>
      <c r="C67" s="8"/>
    </row>
    <row r="68" spans="1:26" ht="14.25" customHeight="1">
      <c r="A68" s="9"/>
      <c r="B68" s="7"/>
      <c r="C68" s="8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26" ht="14.25" customHeight="1">
      <c r="A69" s="9"/>
      <c r="B69" s="12"/>
      <c r="C69" s="8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26" ht="14.25" customHeight="1">
      <c r="A70" s="57"/>
      <c r="B70" s="63"/>
      <c r="C70" s="13"/>
    </row>
    <row r="71" spans="1:26" ht="14.25" customHeight="1">
      <c r="A71" s="70"/>
      <c r="B71" s="72"/>
      <c r="C71" s="13"/>
      <c r="D71" s="6"/>
    </row>
    <row r="72" spans="1:26" ht="14.25" customHeight="1">
      <c r="A72" s="60"/>
      <c r="B72" s="15"/>
      <c r="C72" s="13"/>
      <c r="D72" s="6"/>
      <c r="T72" s="6"/>
      <c r="U72" s="6"/>
      <c r="V72" s="6"/>
      <c r="W72" s="6"/>
      <c r="X72" s="6"/>
      <c r="Y72" s="6"/>
      <c r="Z72" s="6"/>
    </row>
    <row r="73" spans="1:26" ht="14.25" customHeight="1">
      <c r="A73" s="60"/>
      <c r="B73" s="15"/>
      <c r="C73" s="13"/>
      <c r="D73" s="6"/>
      <c r="T73" s="6"/>
      <c r="U73" s="6"/>
      <c r="V73" s="6"/>
      <c r="W73" s="6"/>
      <c r="X73" s="6"/>
      <c r="Y73" s="6"/>
      <c r="Z73" s="6"/>
    </row>
    <row r="74" spans="1:26" ht="14.25" customHeight="1">
      <c r="A74" s="60"/>
      <c r="B74" s="15"/>
      <c r="C74" s="13"/>
      <c r="H74" s="6"/>
      <c r="T74" s="6"/>
      <c r="U74" s="6"/>
      <c r="V74" s="6"/>
      <c r="W74" s="6"/>
      <c r="X74" s="6"/>
      <c r="Y74" s="6"/>
      <c r="Z74" s="6"/>
    </row>
    <row r="75" spans="1:26" ht="14.25" customHeight="1">
      <c r="A75" s="60"/>
      <c r="B75" s="15"/>
      <c r="C75" s="13"/>
    </row>
    <row r="76" spans="1:26" ht="14.25" customHeight="1">
      <c r="A76" s="71"/>
      <c r="B76" s="72"/>
      <c r="C76" s="13"/>
    </row>
    <row r="77" spans="1:26" ht="14.25" customHeight="1">
      <c r="A77" s="71"/>
      <c r="B77" s="73"/>
      <c r="C77" s="13"/>
    </row>
    <row r="78" spans="1:26" ht="14.25" customHeight="1">
      <c r="B78" s="7"/>
      <c r="C78" s="8"/>
    </row>
    <row r="79" spans="1:26" ht="14.25" customHeight="1">
      <c r="B79" s="7"/>
      <c r="C79" s="8"/>
    </row>
    <row r="80" spans="1:26" ht="14.25" customHeight="1">
      <c r="B80" s="7"/>
      <c r="C80" s="8"/>
    </row>
    <row r="81" spans="2:3" ht="14.25" customHeight="1">
      <c r="B81" s="7"/>
      <c r="C81" s="8"/>
    </row>
    <row r="82" spans="2:3" ht="14.25" customHeight="1">
      <c r="B82" s="7"/>
      <c r="C82" s="8"/>
    </row>
    <row r="83" spans="2:3" ht="14.25" customHeight="1">
      <c r="B83" s="7"/>
      <c r="C83" s="8"/>
    </row>
    <row r="84" spans="2:3" ht="14.25" customHeight="1">
      <c r="B84" s="7"/>
      <c r="C84" s="8"/>
    </row>
    <row r="85" spans="2:3" ht="14.25" customHeight="1">
      <c r="B85" s="7"/>
      <c r="C85" s="8"/>
    </row>
    <row r="86" spans="2:3" ht="14.25" customHeight="1">
      <c r="B86" s="7"/>
      <c r="C86" s="8"/>
    </row>
    <row r="87" spans="2:3" ht="14.25" customHeight="1">
      <c r="B87" s="7"/>
      <c r="C87" s="8"/>
    </row>
    <row r="88" spans="2:3" ht="14.25" customHeight="1">
      <c r="B88" s="7"/>
      <c r="C88" s="8"/>
    </row>
    <row r="89" spans="2:3" ht="14.25" customHeight="1">
      <c r="B89" s="7"/>
      <c r="C89" s="8"/>
    </row>
    <row r="90" spans="2:3" ht="14.25" customHeight="1">
      <c r="B90" s="7"/>
      <c r="C90" s="8"/>
    </row>
    <row r="91" spans="2:3" ht="14.25" customHeight="1">
      <c r="B91" s="7"/>
      <c r="C91" s="8"/>
    </row>
    <row r="92" spans="2:3" ht="14.25" customHeight="1">
      <c r="B92" s="7"/>
      <c r="C92" s="8"/>
    </row>
    <row r="93" spans="2:3" ht="14.25" customHeight="1">
      <c r="B93" s="7"/>
      <c r="C93" s="8"/>
    </row>
    <row r="94" spans="2:3" ht="14.25" customHeight="1">
      <c r="B94" s="7"/>
      <c r="C94" s="8"/>
    </row>
    <row r="95" spans="2:3" ht="14.25" customHeight="1">
      <c r="B95" s="7"/>
      <c r="C95" s="8"/>
    </row>
    <row r="96" spans="2:3" ht="14.25" customHeight="1">
      <c r="B96" s="7"/>
      <c r="C96" s="8"/>
    </row>
    <row r="97" spans="2:3" ht="14.25" customHeight="1">
      <c r="B97" s="7"/>
      <c r="C97" s="8"/>
    </row>
    <row r="98" spans="2:3" ht="14.25" customHeight="1">
      <c r="B98" s="7"/>
      <c r="C98" s="8"/>
    </row>
    <row r="99" spans="2:3" ht="14.25" customHeight="1">
      <c r="B99" s="7"/>
      <c r="C99" s="8"/>
    </row>
    <row r="100" spans="2:3" ht="14.25" customHeight="1">
      <c r="B100" s="7"/>
      <c r="C100" s="8"/>
    </row>
    <row r="101" spans="2:3" ht="14.25" customHeight="1">
      <c r="B101" s="7"/>
      <c r="C101" s="8"/>
    </row>
    <row r="102" spans="2:3" ht="14.25" customHeight="1">
      <c r="B102" s="7"/>
      <c r="C102" s="8"/>
    </row>
    <row r="103" spans="2:3" ht="14.25" customHeight="1">
      <c r="B103" s="7"/>
      <c r="C103" s="8"/>
    </row>
    <row r="104" spans="2:3" ht="14.25" customHeight="1">
      <c r="B104" s="7"/>
      <c r="C104" s="8"/>
    </row>
    <row r="105" spans="2:3" ht="14.25" customHeight="1">
      <c r="B105" s="7"/>
      <c r="C105" s="8"/>
    </row>
    <row r="106" spans="2:3" ht="14.25" customHeight="1">
      <c r="B106" s="7"/>
      <c r="C106" s="8"/>
    </row>
    <row r="107" spans="2:3" ht="14.25" customHeight="1">
      <c r="B107" s="7"/>
      <c r="C107" s="8"/>
    </row>
    <row r="108" spans="2:3" ht="14.25" customHeight="1">
      <c r="B108" s="7"/>
      <c r="C108" s="8"/>
    </row>
    <row r="109" spans="2:3" ht="14.25" customHeight="1">
      <c r="B109" s="7"/>
      <c r="C109" s="8"/>
    </row>
    <row r="110" spans="2:3" ht="14.25" customHeight="1">
      <c r="B110" s="7"/>
      <c r="C110" s="8"/>
    </row>
    <row r="111" spans="2:3" ht="14.25" customHeight="1">
      <c r="B111" s="7"/>
      <c r="C111" s="8"/>
    </row>
    <row r="112" spans="2:3" ht="14.25" customHeight="1">
      <c r="B112" s="7"/>
      <c r="C112" s="8"/>
    </row>
    <row r="113" spans="2:3" ht="14.25" customHeight="1">
      <c r="B113" s="7"/>
      <c r="C113" s="8"/>
    </row>
    <row r="114" spans="2:3" ht="14.25" customHeight="1">
      <c r="B114" s="7"/>
      <c r="C114" s="8"/>
    </row>
    <row r="115" spans="2:3" ht="14.25" customHeight="1">
      <c r="B115" s="7"/>
      <c r="C115" s="8"/>
    </row>
    <row r="116" spans="2:3" ht="14.25" customHeight="1">
      <c r="B116" s="7"/>
      <c r="C116" s="8"/>
    </row>
    <row r="117" spans="2:3" ht="14.25" customHeight="1">
      <c r="B117" s="7"/>
      <c r="C117" s="8"/>
    </row>
    <row r="118" spans="2:3" ht="14.25" customHeight="1">
      <c r="B118" s="7"/>
      <c r="C118" s="8"/>
    </row>
    <row r="119" spans="2:3" ht="14.25" customHeight="1">
      <c r="B119" s="7"/>
      <c r="C119" s="8"/>
    </row>
    <row r="120" spans="2:3" ht="14.25" customHeight="1">
      <c r="B120" s="7"/>
      <c r="C120" s="8"/>
    </row>
    <row r="121" spans="2:3" ht="14.25" customHeight="1">
      <c r="B121" s="7"/>
      <c r="C121" s="8"/>
    </row>
    <row r="122" spans="2:3" ht="14.25" customHeight="1">
      <c r="B122" s="7"/>
      <c r="C122" s="8"/>
    </row>
    <row r="123" spans="2:3" ht="14.25" customHeight="1">
      <c r="B123" s="7"/>
      <c r="C123" s="8"/>
    </row>
    <row r="124" spans="2:3" ht="14.25" customHeight="1">
      <c r="B124" s="7"/>
      <c r="C124" s="8"/>
    </row>
    <row r="125" spans="2:3" ht="14.25" customHeight="1">
      <c r="B125" s="7"/>
      <c r="C125" s="8"/>
    </row>
    <row r="126" spans="2:3" ht="14.25" customHeight="1">
      <c r="B126" s="7"/>
      <c r="C126" s="8"/>
    </row>
    <row r="127" spans="2:3" ht="14.25" customHeight="1">
      <c r="B127" s="7"/>
      <c r="C127" s="8"/>
    </row>
    <row r="128" spans="2:3" ht="14.25" customHeight="1">
      <c r="B128" s="7"/>
      <c r="C128" s="8"/>
    </row>
    <row r="129" spans="2:3" ht="14.25" customHeight="1">
      <c r="B129" s="7"/>
      <c r="C129" s="8"/>
    </row>
    <row r="130" spans="2:3" ht="14.25" customHeight="1">
      <c r="B130" s="7"/>
      <c r="C130" s="8"/>
    </row>
    <row r="131" spans="2:3" ht="14.25" customHeight="1">
      <c r="B131" s="7"/>
      <c r="C131" s="8"/>
    </row>
    <row r="132" spans="2:3" ht="14.25" customHeight="1">
      <c r="B132" s="7"/>
      <c r="C132" s="8"/>
    </row>
    <row r="133" spans="2:3" ht="14.25" customHeight="1">
      <c r="B133" s="7"/>
      <c r="C133" s="8"/>
    </row>
    <row r="134" spans="2:3" ht="14.25" customHeight="1">
      <c r="B134" s="7"/>
      <c r="C134" s="8"/>
    </row>
    <row r="135" spans="2:3" ht="14.25" customHeight="1">
      <c r="B135" s="7"/>
      <c r="C135" s="8"/>
    </row>
    <row r="136" spans="2:3" ht="14.25" customHeight="1">
      <c r="B136" s="7"/>
      <c r="C136" s="8"/>
    </row>
    <row r="137" spans="2:3" ht="14.25" customHeight="1">
      <c r="B137" s="7"/>
      <c r="C137" s="8"/>
    </row>
    <row r="138" spans="2:3" ht="14.25" customHeight="1">
      <c r="B138" s="7"/>
      <c r="C138" s="8"/>
    </row>
    <row r="139" spans="2:3" ht="14.25" customHeight="1">
      <c r="B139" s="7"/>
      <c r="C139" s="8"/>
    </row>
    <row r="140" spans="2:3" ht="14.25" customHeight="1">
      <c r="B140" s="7"/>
      <c r="C140" s="8"/>
    </row>
    <row r="141" spans="2:3" ht="14.25" customHeight="1">
      <c r="B141" s="7"/>
      <c r="C141" s="8"/>
    </row>
    <row r="142" spans="2:3" ht="14.25" customHeight="1">
      <c r="B142" s="7"/>
      <c r="C142" s="8"/>
    </row>
    <row r="143" spans="2:3" ht="14.25" customHeight="1">
      <c r="B143" s="7"/>
      <c r="C143" s="8"/>
    </row>
    <row r="144" spans="2:3" ht="14.25" customHeight="1">
      <c r="B144" s="7"/>
      <c r="C144" s="8"/>
    </row>
    <row r="145" spans="2:3" ht="14.25" customHeight="1">
      <c r="B145" s="7"/>
      <c r="C145" s="8"/>
    </row>
    <row r="146" spans="2:3" ht="14.25" customHeight="1">
      <c r="B146" s="7"/>
      <c r="C146" s="8"/>
    </row>
    <row r="147" spans="2:3" ht="14.25" customHeight="1">
      <c r="B147" s="7"/>
      <c r="C147" s="8"/>
    </row>
    <row r="148" spans="2:3" ht="14.25" customHeight="1">
      <c r="B148" s="7"/>
      <c r="C148" s="8"/>
    </row>
    <row r="149" spans="2:3" ht="14.25" customHeight="1">
      <c r="B149" s="7"/>
      <c r="C149" s="8"/>
    </row>
    <row r="150" spans="2:3" ht="14.25" customHeight="1">
      <c r="B150" s="7"/>
      <c r="C150" s="8"/>
    </row>
    <row r="151" spans="2:3" ht="14.25" customHeight="1">
      <c r="B151" s="7"/>
      <c r="C151" s="8"/>
    </row>
    <row r="152" spans="2:3" ht="14.25" customHeight="1">
      <c r="B152" s="7"/>
      <c r="C152" s="8"/>
    </row>
    <row r="153" spans="2:3" ht="14.25" customHeight="1">
      <c r="B153" s="7"/>
      <c r="C153" s="8"/>
    </row>
    <row r="154" spans="2:3" ht="14.25" customHeight="1">
      <c r="B154" s="7"/>
      <c r="C154" s="8"/>
    </row>
    <row r="155" spans="2:3" ht="14.25" customHeight="1">
      <c r="B155" s="7"/>
      <c r="C155" s="8"/>
    </row>
    <row r="156" spans="2:3" ht="14.25" customHeight="1">
      <c r="B156" s="7"/>
      <c r="C156" s="8"/>
    </row>
    <row r="157" spans="2:3" ht="14.25" customHeight="1">
      <c r="B157" s="7"/>
      <c r="C157" s="8"/>
    </row>
    <row r="158" spans="2:3" ht="14.25" customHeight="1">
      <c r="B158" s="7"/>
      <c r="C158" s="8"/>
    </row>
    <row r="159" spans="2:3" ht="14.25" customHeight="1">
      <c r="B159" s="7"/>
      <c r="C159" s="8"/>
    </row>
    <row r="160" spans="2:3" ht="14.25" customHeight="1">
      <c r="B160" s="7"/>
      <c r="C160" s="8"/>
    </row>
    <row r="161" spans="2:3" ht="14.25" customHeight="1">
      <c r="B161" s="7"/>
      <c r="C161" s="8"/>
    </row>
    <row r="162" spans="2:3" ht="14.25" customHeight="1">
      <c r="B162" s="7"/>
      <c r="C162" s="8"/>
    </row>
    <row r="163" spans="2:3" ht="14.25" customHeight="1">
      <c r="B163" s="7"/>
      <c r="C163" s="8"/>
    </row>
    <row r="164" spans="2:3" ht="14.25" customHeight="1">
      <c r="B164" s="7"/>
      <c r="C164" s="8"/>
    </row>
    <row r="165" spans="2:3" ht="14.25" customHeight="1">
      <c r="B165" s="7"/>
      <c r="C165" s="8"/>
    </row>
    <row r="166" spans="2:3" ht="14.25" customHeight="1">
      <c r="B166" s="7"/>
      <c r="C166" s="8"/>
    </row>
    <row r="167" spans="2:3" ht="14.25" customHeight="1">
      <c r="B167" s="7"/>
      <c r="C167" s="8"/>
    </row>
    <row r="168" spans="2:3" ht="14.25" customHeight="1">
      <c r="B168" s="7"/>
      <c r="C168" s="8"/>
    </row>
    <row r="169" spans="2:3" ht="14.25" customHeight="1">
      <c r="B169" s="7"/>
      <c r="C169" s="8"/>
    </row>
    <row r="170" spans="2:3" ht="14.25" customHeight="1">
      <c r="B170" s="7"/>
      <c r="C170" s="8"/>
    </row>
    <row r="171" spans="2:3" ht="14.25" customHeight="1">
      <c r="B171" s="7"/>
      <c r="C171" s="8"/>
    </row>
    <row r="172" spans="2:3" ht="14.25" customHeight="1">
      <c r="B172" s="7"/>
      <c r="C172" s="8"/>
    </row>
    <row r="173" spans="2:3" ht="14.25" customHeight="1">
      <c r="B173" s="7"/>
      <c r="C173" s="8"/>
    </row>
    <row r="174" spans="2:3" ht="14.25" customHeight="1">
      <c r="B174" s="7"/>
      <c r="C174" s="8"/>
    </row>
    <row r="175" spans="2:3" ht="14.25" customHeight="1">
      <c r="B175" s="7"/>
      <c r="C175" s="8"/>
    </row>
    <row r="176" spans="2:3" ht="14.25" customHeight="1">
      <c r="B176" s="7"/>
      <c r="C176" s="8"/>
    </row>
    <row r="177" spans="2:3" ht="14.25" customHeight="1">
      <c r="B177" s="7"/>
      <c r="C177" s="8"/>
    </row>
    <row r="178" spans="2:3" ht="14.25" customHeight="1">
      <c r="B178" s="7"/>
      <c r="C178" s="8"/>
    </row>
    <row r="179" spans="2:3" ht="14.25" customHeight="1">
      <c r="B179" s="7"/>
      <c r="C179" s="8"/>
    </row>
    <row r="180" spans="2:3" ht="14.25" customHeight="1">
      <c r="B180" s="7"/>
      <c r="C180" s="8"/>
    </row>
    <row r="181" spans="2:3" ht="14.25" customHeight="1">
      <c r="B181" s="7"/>
      <c r="C181" s="8"/>
    </row>
    <row r="182" spans="2:3" ht="14.25" customHeight="1">
      <c r="B182" s="7"/>
      <c r="C182" s="8"/>
    </row>
    <row r="183" spans="2:3" ht="14.25" customHeight="1">
      <c r="B183" s="7"/>
      <c r="C183" s="8"/>
    </row>
    <row r="184" spans="2:3" ht="14.25" customHeight="1">
      <c r="B184" s="7"/>
      <c r="C184" s="8"/>
    </row>
    <row r="185" spans="2:3" ht="14.25" customHeight="1">
      <c r="B185" s="7"/>
      <c r="C185" s="8"/>
    </row>
    <row r="186" spans="2:3" ht="14.25" customHeight="1">
      <c r="B186" s="7"/>
      <c r="C186" s="8"/>
    </row>
    <row r="187" spans="2:3" ht="14.25" customHeight="1">
      <c r="B187" s="7"/>
      <c r="C187" s="8"/>
    </row>
    <row r="188" spans="2:3" ht="14.25" customHeight="1">
      <c r="B188" s="7"/>
      <c r="C188" s="8"/>
    </row>
    <row r="189" spans="2:3" ht="14.25" customHeight="1">
      <c r="B189" s="7"/>
      <c r="C189" s="8"/>
    </row>
    <row r="190" spans="2:3" ht="14.25" customHeight="1">
      <c r="B190" s="7"/>
      <c r="C190" s="8"/>
    </row>
    <row r="191" spans="2:3" ht="14.25" customHeight="1">
      <c r="B191" s="7"/>
      <c r="C191" s="8"/>
    </row>
    <row r="192" spans="2:3" ht="14.25" customHeight="1">
      <c r="B192" s="7"/>
      <c r="C192" s="8"/>
    </row>
    <row r="193" spans="2:3" ht="14.25" customHeight="1">
      <c r="B193" s="7"/>
      <c r="C193" s="8"/>
    </row>
    <row r="194" spans="2:3" ht="14.25" customHeight="1">
      <c r="B194" s="7"/>
      <c r="C194" s="8"/>
    </row>
    <row r="195" spans="2:3" ht="14.25" customHeight="1">
      <c r="B195" s="7"/>
      <c r="C195" s="8"/>
    </row>
    <row r="196" spans="2:3" ht="14.25" customHeight="1">
      <c r="B196" s="7"/>
      <c r="C196" s="8"/>
    </row>
    <row r="197" spans="2:3" ht="14.25" customHeight="1">
      <c r="B197" s="7"/>
      <c r="C197" s="8"/>
    </row>
    <row r="198" spans="2:3" ht="14.25" customHeight="1">
      <c r="B198" s="7"/>
      <c r="C198" s="8"/>
    </row>
    <row r="199" spans="2:3" ht="14.25" customHeight="1">
      <c r="B199" s="7"/>
      <c r="C199" s="8"/>
    </row>
    <row r="200" spans="2:3" ht="14.25" customHeight="1">
      <c r="B200" s="7"/>
      <c r="C200" s="8"/>
    </row>
    <row r="201" spans="2:3" ht="14.25" customHeight="1">
      <c r="B201" s="7"/>
      <c r="C201" s="8"/>
    </row>
    <row r="202" spans="2:3" ht="14.25" customHeight="1">
      <c r="B202" s="7"/>
      <c r="C202" s="8"/>
    </row>
    <row r="203" spans="2:3" ht="14.25" customHeight="1">
      <c r="B203" s="7"/>
      <c r="C203" s="8"/>
    </row>
    <row r="204" spans="2:3" ht="14.25" customHeight="1">
      <c r="B204" s="7"/>
      <c r="C204" s="8"/>
    </row>
    <row r="205" spans="2:3" ht="14.25" customHeight="1">
      <c r="B205" s="7"/>
      <c r="C205" s="8"/>
    </row>
    <row r="206" spans="2:3" ht="14.25" customHeight="1">
      <c r="B206" s="7"/>
      <c r="C206" s="8"/>
    </row>
    <row r="207" spans="2:3" ht="14.25" customHeight="1">
      <c r="B207" s="7"/>
      <c r="C207" s="8"/>
    </row>
    <row r="208" spans="2:3" ht="14.25" customHeight="1">
      <c r="B208" s="7"/>
      <c r="C208" s="8"/>
    </row>
    <row r="209" spans="2:3" ht="14.25" customHeight="1">
      <c r="B209" s="7"/>
      <c r="C209" s="8"/>
    </row>
    <row r="210" spans="2:3" ht="14.25" customHeight="1">
      <c r="B210" s="7"/>
      <c r="C210" s="8"/>
    </row>
    <row r="211" spans="2:3" ht="14.25" customHeight="1">
      <c r="B211" s="7"/>
      <c r="C211" s="8"/>
    </row>
    <row r="212" spans="2:3" ht="14.25" customHeight="1">
      <c r="B212" s="7"/>
      <c r="C212" s="8"/>
    </row>
    <row r="213" spans="2:3" ht="14.25" customHeight="1">
      <c r="B213" s="7"/>
      <c r="C213" s="8"/>
    </row>
    <row r="214" spans="2:3" ht="14.25" customHeight="1">
      <c r="B214" s="7"/>
      <c r="C214" s="8"/>
    </row>
    <row r="215" spans="2:3" ht="14.25" customHeight="1">
      <c r="B215" s="7"/>
      <c r="C215" s="8"/>
    </row>
    <row r="216" spans="2:3" ht="14.25" customHeight="1">
      <c r="B216" s="7"/>
      <c r="C216" s="8"/>
    </row>
    <row r="217" spans="2:3" ht="14.25" customHeight="1">
      <c r="B217" s="7"/>
      <c r="C217" s="8"/>
    </row>
    <row r="218" spans="2:3" ht="14.25" customHeight="1">
      <c r="B218" s="7"/>
      <c r="C218" s="8"/>
    </row>
    <row r="219" spans="2:3" ht="14.25" customHeight="1">
      <c r="B219" s="7"/>
      <c r="C219" s="8"/>
    </row>
    <row r="220" spans="2:3" ht="14.25" customHeight="1">
      <c r="B220" s="7"/>
      <c r="C220" s="8"/>
    </row>
    <row r="221" spans="2:3" ht="14.25" customHeight="1">
      <c r="B221" s="7"/>
      <c r="C221" s="8"/>
    </row>
    <row r="222" spans="2:3" ht="14.25" customHeight="1">
      <c r="B222" s="7"/>
      <c r="C222" s="8"/>
    </row>
    <row r="223" spans="2:3" ht="14.25" customHeight="1">
      <c r="B223" s="7"/>
      <c r="C223" s="8"/>
    </row>
    <row r="224" spans="2:3" ht="14.25" customHeight="1">
      <c r="B224" s="7"/>
      <c r="C224" s="8"/>
    </row>
    <row r="225" spans="2:3" ht="14.25" customHeight="1">
      <c r="B225" s="7"/>
      <c r="C225" s="8"/>
    </row>
    <row r="226" spans="2:3" ht="14.25" customHeight="1">
      <c r="B226" s="7"/>
      <c r="C226" s="8"/>
    </row>
    <row r="227" spans="2:3" ht="14.25" customHeight="1">
      <c r="B227" s="7"/>
      <c r="C227" s="8"/>
    </row>
    <row r="228" spans="2:3" ht="14.25" customHeight="1">
      <c r="B228" s="7"/>
      <c r="C228" s="8"/>
    </row>
    <row r="229" spans="2:3" ht="14.25" customHeight="1">
      <c r="B229" s="7"/>
      <c r="C229" s="8"/>
    </row>
    <row r="230" spans="2:3" ht="14.25" customHeight="1">
      <c r="B230" s="7"/>
      <c r="C230" s="8"/>
    </row>
    <row r="231" spans="2:3" ht="14.25" customHeight="1">
      <c r="B231" s="7"/>
      <c r="C231" s="8"/>
    </row>
    <row r="232" spans="2:3" ht="14.25" customHeight="1">
      <c r="B232" s="7"/>
      <c r="C232" s="8"/>
    </row>
    <row r="233" spans="2:3" ht="14.25" customHeight="1">
      <c r="B233" s="7"/>
      <c r="C233" s="8"/>
    </row>
    <row r="234" spans="2:3" ht="14.25" customHeight="1">
      <c r="B234" s="7"/>
      <c r="C234" s="8"/>
    </row>
    <row r="235" spans="2:3" ht="14.25" customHeight="1">
      <c r="B235" s="7"/>
      <c r="C235" s="8"/>
    </row>
    <row r="236" spans="2:3" ht="14.25" customHeight="1">
      <c r="B236" s="7"/>
      <c r="C236" s="8"/>
    </row>
    <row r="237" spans="2:3" ht="14.25" customHeight="1">
      <c r="B237" s="7"/>
      <c r="C237" s="8"/>
    </row>
    <row r="238" spans="2:3" ht="14.25" customHeight="1">
      <c r="B238" s="7"/>
      <c r="C238" s="8"/>
    </row>
    <row r="239" spans="2:3" ht="14.25" customHeight="1">
      <c r="B239" s="7"/>
      <c r="C239" s="8"/>
    </row>
    <row r="240" spans="2:3" ht="14.25" customHeight="1">
      <c r="B240" s="7"/>
      <c r="C240" s="8"/>
    </row>
    <row r="241" spans="2:3" ht="14.25" customHeight="1">
      <c r="B241" s="7"/>
      <c r="C241" s="8"/>
    </row>
    <row r="242" spans="2:3" ht="14.25" customHeight="1">
      <c r="B242" s="7"/>
      <c r="C242" s="8"/>
    </row>
    <row r="243" spans="2:3" ht="14.25" customHeight="1">
      <c r="B243" s="7"/>
      <c r="C243" s="8"/>
    </row>
    <row r="244" spans="2:3" ht="14.25" customHeight="1">
      <c r="B244" s="7"/>
      <c r="C244" s="8"/>
    </row>
    <row r="245" spans="2:3" ht="14.25" customHeight="1">
      <c r="B245" s="7"/>
      <c r="C245" s="8"/>
    </row>
    <row r="246" spans="2:3" ht="14.25" customHeight="1">
      <c r="B246" s="7"/>
      <c r="C246" s="8"/>
    </row>
    <row r="247" spans="2:3" ht="14.25" customHeight="1">
      <c r="B247" s="7"/>
      <c r="C247" s="8"/>
    </row>
    <row r="248" spans="2:3" ht="14.25" customHeight="1">
      <c r="B248" s="7"/>
      <c r="C248" s="8"/>
    </row>
    <row r="249" spans="2:3" ht="14.25" customHeight="1">
      <c r="B249" s="7"/>
      <c r="C249" s="8"/>
    </row>
    <row r="250" spans="2:3" ht="14.25" customHeight="1">
      <c r="B250" s="7"/>
      <c r="C250" s="8"/>
    </row>
    <row r="251" spans="2:3" ht="14.25" customHeight="1">
      <c r="B251" s="7"/>
      <c r="C251" s="8"/>
    </row>
    <row r="252" spans="2:3" ht="14.25" customHeight="1">
      <c r="B252" s="7"/>
      <c r="C252" s="8"/>
    </row>
    <row r="253" spans="2:3" ht="14.25" customHeight="1">
      <c r="B253" s="7"/>
      <c r="C253" s="8"/>
    </row>
    <row r="254" spans="2:3" ht="14.25" customHeight="1">
      <c r="B254" s="7"/>
      <c r="C254" s="8"/>
    </row>
    <row r="255" spans="2:3" ht="14.25" customHeight="1">
      <c r="B255" s="7"/>
      <c r="C255" s="8"/>
    </row>
    <row r="256" spans="2:3" ht="14.25" customHeight="1">
      <c r="B256" s="7"/>
      <c r="C256" s="8"/>
    </row>
    <row r="257" spans="2:3" ht="14.25" customHeight="1">
      <c r="B257" s="7"/>
      <c r="C257" s="8"/>
    </row>
    <row r="258" spans="2:3" ht="14.25" customHeight="1">
      <c r="B258" s="7"/>
      <c r="C258" s="8"/>
    </row>
    <row r="259" spans="2:3" ht="14.25" customHeight="1">
      <c r="B259" s="7"/>
      <c r="C259" s="8"/>
    </row>
    <row r="260" spans="2:3" ht="14.25" customHeight="1">
      <c r="B260" s="7"/>
      <c r="C260" s="8"/>
    </row>
    <row r="261" spans="2:3" ht="14.25" customHeight="1">
      <c r="B261" s="7"/>
      <c r="C261" s="8"/>
    </row>
    <row r="262" spans="2:3" ht="14.25" customHeight="1">
      <c r="B262" s="7"/>
      <c r="C262" s="8"/>
    </row>
    <row r="263" spans="2:3" ht="14.25" customHeight="1">
      <c r="B263" s="7"/>
      <c r="C263" s="8"/>
    </row>
    <row r="264" spans="2:3" ht="14.25" customHeight="1">
      <c r="B264" s="7"/>
      <c r="C264" s="8"/>
    </row>
    <row r="265" spans="2:3" ht="14.25" customHeight="1">
      <c r="B265" s="7"/>
      <c r="C265" s="8"/>
    </row>
    <row r="266" spans="2:3" ht="14.25" customHeight="1">
      <c r="B266" s="7"/>
      <c r="C266" s="8"/>
    </row>
    <row r="267" spans="2:3" ht="14.25" customHeight="1">
      <c r="B267" s="7"/>
      <c r="C267" s="8"/>
    </row>
    <row r="268" spans="2:3" ht="14.25" customHeight="1">
      <c r="B268" s="7"/>
      <c r="C268" s="8"/>
    </row>
    <row r="269" spans="2:3" ht="14.25" customHeight="1">
      <c r="B269" s="7"/>
      <c r="C269" s="8"/>
    </row>
    <row r="270" spans="2:3" ht="14.25" customHeight="1">
      <c r="B270" s="7"/>
      <c r="C270" s="8"/>
    </row>
    <row r="271" spans="2:3" ht="14.25" customHeight="1">
      <c r="B271" s="7"/>
      <c r="C271" s="8"/>
    </row>
    <row r="272" spans="2:3" ht="14.25" customHeight="1">
      <c r="B272" s="7"/>
      <c r="C272" s="8"/>
    </row>
    <row r="273" spans="2:3" ht="14.25" customHeight="1">
      <c r="B273" s="7"/>
      <c r="C273" s="8"/>
    </row>
    <row r="274" spans="2:3" ht="14.25" customHeight="1">
      <c r="B274" s="7"/>
      <c r="C274" s="8"/>
    </row>
    <row r="275" spans="2:3" ht="14.25" customHeight="1">
      <c r="B275" s="7"/>
      <c r="C275" s="8"/>
    </row>
    <row r="276" spans="2:3" ht="14.25" customHeight="1">
      <c r="B276" s="7"/>
      <c r="C276" s="8"/>
    </row>
    <row r="277" spans="2:3" ht="14.25" customHeight="1">
      <c r="B277" s="7"/>
      <c r="C277" s="8"/>
    </row>
    <row r="278" spans="2:3" ht="14.25" customHeight="1">
      <c r="B278" s="7"/>
      <c r="C278" s="8"/>
    </row>
    <row r="279" spans="2:3" ht="14.25" customHeight="1">
      <c r="B279" s="7"/>
      <c r="C279" s="8"/>
    </row>
    <row r="280" spans="2:3" ht="14.25" customHeight="1">
      <c r="B280" s="7"/>
      <c r="C280" s="8"/>
    </row>
    <row r="281" spans="2:3" ht="14.25" customHeight="1">
      <c r="B281" s="7"/>
      <c r="C281" s="8"/>
    </row>
    <row r="282" spans="2:3" ht="14.25" customHeight="1">
      <c r="B282" s="7"/>
      <c r="C282" s="8"/>
    </row>
    <row r="283" spans="2:3" ht="14.25" customHeight="1">
      <c r="B283" s="7"/>
      <c r="C283" s="8"/>
    </row>
    <row r="284" spans="2:3" ht="14.25" customHeight="1">
      <c r="B284" s="7"/>
      <c r="C284" s="8"/>
    </row>
    <row r="285" spans="2:3" ht="14.25" customHeight="1">
      <c r="B285" s="7"/>
      <c r="C285" s="8"/>
    </row>
    <row r="286" spans="2:3" ht="14.25" customHeight="1">
      <c r="B286" s="7"/>
      <c r="C286" s="8"/>
    </row>
    <row r="287" spans="2:3" ht="14.25" customHeight="1">
      <c r="B287" s="7"/>
      <c r="C287" s="8"/>
    </row>
    <row r="288" spans="2:3" ht="14.25" customHeight="1">
      <c r="B288" s="7"/>
      <c r="C288" s="8"/>
    </row>
    <row r="289" spans="2:3" ht="14.25" customHeight="1">
      <c r="B289" s="7"/>
      <c r="C289" s="8"/>
    </row>
    <row r="290" spans="2:3" ht="14.25" customHeight="1">
      <c r="B290" s="7"/>
      <c r="C290" s="8"/>
    </row>
    <row r="291" spans="2:3" ht="14.25" customHeight="1">
      <c r="B291" s="7"/>
      <c r="C291" s="8"/>
    </row>
    <row r="292" spans="2:3" ht="14.25" customHeight="1">
      <c r="B292" s="7"/>
      <c r="C292" s="8"/>
    </row>
    <row r="293" spans="2:3" ht="14.25" customHeight="1">
      <c r="B293" s="7"/>
      <c r="C293" s="8"/>
    </row>
    <row r="294" spans="2:3" ht="14.25" customHeight="1">
      <c r="B294" s="7"/>
      <c r="C294" s="8"/>
    </row>
    <row r="295" spans="2:3" ht="14.25" customHeight="1">
      <c r="B295" s="7"/>
      <c r="C295" s="8"/>
    </row>
    <row r="296" spans="2:3" ht="14.25" customHeight="1">
      <c r="B296" s="7"/>
      <c r="C296" s="8"/>
    </row>
    <row r="297" spans="2:3" ht="14.25" customHeight="1">
      <c r="B297" s="7"/>
      <c r="C297" s="8"/>
    </row>
    <row r="298" spans="2:3" ht="14.25" customHeight="1">
      <c r="B298" s="7"/>
      <c r="C298" s="8"/>
    </row>
    <row r="299" spans="2:3" ht="14.25" customHeight="1">
      <c r="B299" s="7"/>
      <c r="C299" s="8"/>
    </row>
    <row r="300" spans="2:3" ht="14.25" customHeight="1">
      <c r="B300" s="7"/>
      <c r="C300" s="8"/>
    </row>
    <row r="301" spans="2:3" ht="14.25" customHeight="1">
      <c r="B301" s="7"/>
      <c r="C301" s="8"/>
    </row>
    <row r="302" spans="2:3" ht="14.25" customHeight="1">
      <c r="B302" s="7"/>
      <c r="C302" s="8"/>
    </row>
    <row r="303" spans="2:3" ht="14.25" customHeight="1">
      <c r="B303" s="7"/>
      <c r="C303" s="8"/>
    </row>
    <row r="304" spans="2:3" ht="14.25" customHeight="1">
      <c r="B304" s="7"/>
      <c r="C304" s="8"/>
    </row>
    <row r="305" spans="2:3" ht="14.25" customHeight="1">
      <c r="B305" s="7"/>
      <c r="C305" s="8"/>
    </row>
    <row r="306" spans="2:3" ht="14.25" customHeight="1">
      <c r="B306" s="7"/>
      <c r="C306" s="8"/>
    </row>
    <row r="307" spans="2:3" ht="14.25" customHeight="1">
      <c r="B307" s="7"/>
      <c r="C307" s="8"/>
    </row>
    <row r="308" spans="2:3" ht="14.25" customHeight="1">
      <c r="B308" s="7"/>
      <c r="C308" s="8"/>
    </row>
    <row r="309" spans="2:3" ht="14.25" customHeight="1">
      <c r="B309" s="7"/>
      <c r="C309" s="8"/>
    </row>
    <row r="310" spans="2:3" ht="14.25" customHeight="1">
      <c r="B310" s="7"/>
      <c r="C310" s="8"/>
    </row>
    <row r="311" spans="2:3" ht="14.25" customHeight="1">
      <c r="B311" s="7"/>
      <c r="C311" s="8"/>
    </row>
    <row r="312" spans="2:3" ht="14.25" customHeight="1">
      <c r="B312" s="7"/>
      <c r="C312" s="8"/>
    </row>
    <row r="313" spans="2:3" ht="14.25" customHeight="1">
      <c r="B313" s="7"/>
      <c r="C313" s="8"/>
    </row>
    <row r="314" spans="2:3" ht="14.25" customHeight="1">
      <c r="B314" s="7"/>
      <c r="C314" s="8"/>
    </row>
    <row r="315" spans="2:3" ht="14.25" customHeight="1">
      <c r="B315" s="7"/>
      <c r="C315" s="8"/>
    </row>
    <row r="316" spans="2:3" ht="14.25" customHeight="1">
      <c r="B316" s="7"/>
      <c r="C316" s="8"/>
    </row>
    <row r="317" spans="2:3" ht="14.25" customHeight="1">
      <c r="B317" s="7"/>
      <c r="C317" s="8"/>
    </row>
    <row r="318" spans="2:3" ht="14.25" customHeight="1">
      <c r="B318" s="7"/>
      <c r="C318" s="8"/>
    </row>
    <row r="319" spans="2:3" ht="14.25" customHeight="1">
      <c r="B319" s="7"/>
      <c r="C319" s="8"/>
    </row>
    <row r="320" spans="2:3" ht="14.25" customHeight="1">
      <c r="B320" s="7"/>
      <c r="C320" s="8"/>
    </row>
    <row r="321" spans="2:3" ht="14.25" customHeight="1">
      <c r="B321" s="7"/>
      <c r="C321" s="8"/>
    </row>
    <row r="322" spans="2:3" ht="14.25" customHeight="1">
      <c r="B322" s="7"/>
      <c r="C322" s="8"/>
    </row>
    <row r="323" spans="2:3" ht="14.25" customHeight="1">
      <c r="B323" s="7"/>
      <c r="C323" s="8"/>
    </row>
    <row r="324" spans="2:3" ht="14.25" customHeight="1">
      <c r="B324" s="7"/>
      <c r="C324" s="8"/>
    </row>
    <row r="325" spans="2:3" ht="14.25" customHeight="1">
      <c r="B325" s="7"/>
      <c r="C325" s="8"/>
    </row>
    <row r="326" spans="2:3" ht="14.25" customHeight="1">
      <c r="B326" s="7"/>
      <c r="C326" s="8"/>
    </row>
    <row r="327" spans="2:3" ht="14.25" customHeight="1">
      <c r="B327" s="7"/>
      <c r="C327" s="8"/>
    </row>
    <row r="328" spans="2:3" ht="14.25" customHeight="1">
      <c r="B328" s="7"/>
      <c r="C328" s="8"/>
    </row>
    <row r="329" spans="2:3" ht="14.25" customHeight="1">
      <c r="B329" s="7"/>
      <c r="C329" s="8"/>
    </row>
    <row r="330" spans="2:3" ht="14.25" customHeight="1">
      <c r="B330" s="7"/>
      <c r="C330" s="8"/>
    </row>
    <row r="331" spans="2:3" ht="14.25" customHeight="1">
      <c r="B331" s="7"/>
      <c r="C331" s="8"/>
    </row>
    <row r="332" spans="2:3" ht="14.25" customHeight="1">
      <c r="B332" s="7"/>
      <c r="C332" s="8"/>
    </row>
    <row r="333" spans="2:3" ht="14.25" customHeight="1">
      <c r="B333" s="7"/>
      <c r="C333" s="8"/>
    </row>
    <row r="334" spans="2:3" ht="14.25" customHeight="1">
      <c r="B334" s="7"/>
      <c r="C334" s="8"/>
    </row>
    <row r="335" spans="2:3" ht="14.25" customHeight="1">
      <c r="B335" s="7"/>
      <c r="C335" s="8"/>
    </row>
    <row r="336" spans="2:3" ht="14.25" customHeight="1">
      <c r="B336" s="7"/>
      <c r="C336" s="8"/>
    </row>
    <row r="337" spans="2:3" ht="14.25" customHeight="1">
      <c r="B337" s="7"/>
      <c r="C337" s="8"/>
    </row>
    <row r="338" spans="2:3" ht="14.25" customHeight="1">
      <c r="B338" s="7"/>
      <c r="C338" s="8"/>
    </row>
    <row r="339" spans="2:3" ht="14.25" customHeight="1">
      <c r="B339" s="7"/>
      <c r="C339" s="8"/>
    </row>
    <row r="340" spans="2:3" ht="14.25" customHeight="1">
      <c r="B340" s="7"/>
      <c r="C340" s="8"/>
    </row>
    <row r="341" spans="2:3" ht="14.25" customHeight="1">
      <c r="B341" s="7"/>
      <c r="C341" s="8"/>
    </row>
    <row r="342" spans="2:3" ht="14.25" customHeight="1">
      <c r="B342" s="7"/>
      <c r="C342" s="8"/>
    </row>
    <row r="343" spans="2:3" ht="14.25" customHeight="1">
      <c r="B343" s="7"/>
      <c r="C343" s="8"/>
    </row>
    <row r="344" spans="2:3" ht="14.25" customHeight="1">
      <c r="B344" s="7"/>
      <c r="C344" s="8"/>
    </row>
    <row r="345" spans="2:3" ht="14.25" customHeight="1">
      <c r="B345" s="7"/>
      <c r="C345" s="8"/>
    </row>
    <row r="346" spans="2:3" ht="14.25" customHeight="1">
      <c r="B346" s="7"/>
      <c r="C346" s="8"/>
    </row>
    <row r="347" spans="2:3" ht="14.25" customHeight="1">
      <c r="B347" s="7"/>
      <c r="C347" s="8"/>
    </row>
    <row r="348" spans="2:3" ht="14.25" customHeight="1">
      <c r="B348" s="7"/>
      <c r="C348" s="8"/>
    </row>
    <row r="349" spans="2:3" ht="14.25" customHeight="1">
      <c r="B349" s="7"/>
      <c r="C349" s="8"/>
    </row>
    <row r="350" spans="2:3" ht="14.25" customHeight="1">
      <c r="B350" s="7"/>
      <c r="C350" s="8"/>
    </row>
    <row r="351" spans="2:3" ht="14.25" customHeight="1">
      <c r="B351" s="7"/>
      <c r="C351" s="8"/>
    </row>
    <row r="352" spans="2:3" ht="14.25" customHeight="1">
      <c r="B352" s="7"/>
      <c r="C352" s="8"/>
    </row>
    <row r="353" spans="2:3" ht="14.25" customHeight="1">
      <c r="B353" s="7"/>
      <c r="C353" s="8"/>
    </row>
    <row r="354" spans="2:3" ht="14.25" customHeight="1">
      <c r="B354" s="7"/>
      <c r="C354" s="8"/>
    </row>
    <row r="355" spans="2:3" ht="14.25" customHeight="1">
      <c r="B355" s="7"/>
      <c r="C355" s="8"/>
    </row>
    <row r="356" spans="2:3" ht="14.25" customHeight="1">
      <c r="B356" s="7"/>
      <c r="C356" s="8"/>
    </row>
    <row r="357" spans="2:3" ht="14.25" customHeight="1">
      <c r="B357" s="7"/>
      <c r="C357" s="8"/>
    </row>
    <row r="358" spans="2:3" ht="14.25" customHeight="1">
      <c r="B358" s="7"/>
      <c r="C358" s="8"/>
    </row>
    <row r="359" spans="2:3" ht="14.25" customHeight="1">
      <c r="B359" s="7"/>
      <c r="C359" s="8"/>
    </row>
    <row r="360" spans="2:3" ht="14.25" customHeight="1">
      <c r="B360" s="7"/>
      <c r="C360" s="8"/>
    </row>
    <row r="361" spans="2:3" ht="14.25" customHeight="1">
      <c r="B361" s="7"/>
      <c r="C361" s="8"/>
    </row>
    <row r="362" spans="2:3" ht="14.25" customHeight="1">
      <c r="B362" s="7"/>
      <c r="C362" s="8"/>
    </row>
    <row r="363" spans="2:3" ht="14.25" customHeight="1">
      <c r="B363" s="7"/>
      <c r="C363" s="8"/>
    </row>
    <row r="364" spans="2:3" ht="14.25" customHeight="1">
      <c r="B364" s="7"/>
      <c r="C364" s="8"/>
    </row>
    <row r="365" spans="2:3" ht="14.25" customHeight="1">
      <c r="B365" s="7"/>
      <c r="C365" s="8"/>
    </row>
    <row r="366" spans="2:3" ht="14.25" customHeight="1">
      <c r="B366" s="7"/>
      <c r="C366" s="8"/>
    </row>
    <row r="367" spans="2:3" ht="14.25" customHeight="1">
      <c r="B367" s="7"/>
      <c r="C367" s="8"/>
    </row>
    <row r="368" spans="2:3" ht="14.25" customHeight="1">
      <c r="B368" s="7"/>
      <c r="C368" s="8"/>
    </row>
    <row r="369" spans="2:3" ht="14.25" customHeight="1">
      <c r="B369" s="7"/>
      <c r="C369" s="8"/>
    </row>
    <row r="370" spans="2:3" ht="14.25" customHeight="1">
      <c r="B370" s="7"/>
      <c r="C370" s="8"/>
    </row>
    <row r="371" spans="2:3" ht="14.25" customHeight="1">
      <c r="B371" s="7"/>
      <c r="C371" s="8"/>
    </row>
    <row r="372" spans="2:3" ht="14.25" customHeight="1">
      <c r="B372" s="7"/>
      <c r="C372" s="8"/>
    </row>
    <row r="373" spans="2:3" ht="14.25" customHeight="1">
      <c r="B373" s="7"/>
      <c r="C373" s="8"/>
    </row>
    <row r="374" spans="2:3" ht="14.25" customHeight="1">
      <c r="B374" s="7"/>
      <c r="C374" s="8"/>
    </row>
    <row r="375" spans="2:3" ht="14.25" customHeight="1">
      <c r="B375" s="7"/>
      <c r="C375" s="8"/>
    </row>
    <row r="376" spans="2:3" ht="14.25" customHeight="1">
      <c r="B376" s="7"/>
      <c r="C376" s="8"/>
    </row>
    <row r="377" spans="2:3" ht="14.25" customHeight="1">
      <c r="B377" s="7"/>
      <c r="C377" s="8"/>
    </row>
    <row r="378" spans="2:3" ht="14.25" customHeight="1">
      <c r="B378" s="7"/>
      <c r="C378" s="8"/>
    </row>
    <row r="379" spans="2:3" ht="14.25" customHeight="1">
      <c r="B379" s="7"/>
      <c r="C379" s="8"/>
    </row>
    <row r="380" spans="2:3" ht="14.25" customHeight="1">
      <c r="B380" s="7"/>
      <c r="C380" s="8"/>
    </row>
    <row r="381" spans="2:3" ht="14.25" customHeight="1">
      <c r="B381" s="7"/>
      <c r="C381" s="8"/>
    </row>
    <row r="382" spans="2:3" ht="14.25" customHeight="1">
      <c r="B382" s="7"/>
      <c r="C382" s="8"/>
    </row>
    <row r="383" spans="2:3" ht="14.25" customHeight="1">
      <c r="B383" s="7"/>
      <c r="C383" s="8"/>
    </row>
    <row r="384" spans="2:3" ht="14.25" customHeight="1">
      <c r="B384" s="7"/>
      <c r="C384" s="8"/>
    </row>
    <row r="385" spans="2:3" ht="14.25" customHeight="1">
      <c r="B385" s="7"/>
      <c r="C385" s="8"/>
    </row>
    <row r="386" spans="2:3" ht="14.25" customHeight="1">
      <c r="B386" s="7"/>
      <c r="C386" s="8"/>
    </row>
    <row r="387" spans="2:3" ht="14.25" customHeight="1">
      <c r="B387" s="7"/>
      <c r="C387" s="8"/>
    </row>
    <row r="388" spans="2:3" ht="14.25" customHeight="1">
      <c r="B388" s="7"/>
      <c r="C388" s="8"/>
    </row>
    <row r="389" spans="2:3" ht="14.25" customHeight="1">
      <c r="B389" s="7"/>
      <c r="C389" s="8"/>
    </row>
    <row r="390" spans="2:3" ht="14.25" customHeight="1">
      <c r="B390" s="7"/>
      <c r="C390" s="8"/>
    </row>
    <row r="391" spans="2:3" ht="14.25" customHeight="1">
      <c r="B391" s="7"/>
      <c r="C391" s="8"/>
    </row>
    <row r="392" spans="2:3" ht="14.25" customHeight="1">
      <c r="B392" s="7"/>
      <c r="C392" s="8"/>
    </row>
    <row r="393" spans="2:3" ht="14.25" customHeight="1">
      <c r="B393" s="7"/>
      <c r="C393" s="8"/>
    </row>
    <row r="394" spans="2:3" ht="14.25" customHeight="1">
      <c r="B394" s="7"/>
      <c r="C394" s="8"/>
    </row>
    <row r="395" spans="2:3" ht="14.25" customHeight="1">
      <c r="B395" s="7"/>
      <c r="C395" s="8"/>
    </row>
    <row r="396" spans="2:3" ht="14.25" customHeight="1">
      <c r="B396" s="7"/>
      <c r="C396" s="8"/>
    </row>
    <row r="397" spans="2:3" ht="14.25" customHeight="1">
      <c r="B397" s="7"/>
      <c r="C397" s="8"/>
    </row>
    <row r="398" spans="2:3" ht="14.25" customHeight="1">
      <c r="B398" s="7"/>
      <c r="C398" s="8"/>
    </row>
    <row r="399" spans="2:3" ht="14.25" customHeight="1">
      <c r="B399" s="7"/>
      <c r="C399" s="8"/>
    </row>
    <row r="400" spans="2:3" ht="14.25" customHeight="1">
      <c r="B400" s="7"/>
      <c r="C400" s="8"/>
    </row>
    <row r="401" spans="2:3" ht="14.25" customHeight="1">
      <c r="B401" s="7"/>
      <c r="C401" s="8"/>
    </row>
    <row r="402" spans="2:3" ht="14.25" customHeight="1">
      <c r="B402" s="7"/>
      <c r="C402" s="8"/>
    </row>
    <row r="403" spans="2:3" ht="14.25" customHeight="1">
      <c r="B403" s="7"/>
      <c r="C403" s="8"/>
    </row>
    <row r="404" spans="2:3" ht="14.25" customHeight="1">
      <c r="B404" s="7"/>
      <c r="C404" s="8"/>
    </row>
    <row r="405" spans="2:3" ht="14.25" customHeight="1">
      <c r="B405" s="7"/>
      <c r="C405" s="8"/>
    </row>
    <row r="406" spans="2:3" ht="14.25" customHeight="1">
      <c r="B406" s="7"/>
      <c r="C406" s="8"/>
    </row>
    <row r="407" spans="2:3" ht="14.25" customHeight="1">
      <c r="B407" s="7"/>
      <c r="C407" s="8"/>
    </row>
    <row r="408" spans="2:3" ht="14.25" customHeight="1">
      <c r="B408" s="7"/>
      <c r="C408" s="8"/>
    </row>
    <row r="409" spans="2:3" ht="14.25" customHeight="1">
      <c r="B409" s="7"/>
      <c r="C409" s="8"/>
    </row>
    <row r="410" spans="2:3" ht="14.25" customHeight="1">
      <c r="B410" s="7"/>
      <c r="C410" s="8"/>
    </row>
    <row r="411" spans="2:3" ht="14.25" customHeight="1">
      <c r="B411" s="7"/>
      <c r="C411" s="8"/>
    </row>
    <row r="412" spans="2:3" ht="14.25" customHeight="1">
      <c r="B412" s="7"/>
      <c r="C412" s="8"/>
    </row>
    <row r="413" spans="2:3" ht="14.25" customHeight="1">
      <c r="B413" s="7"/>
      <c r="C413" s="8"/>
    </row>
    <row r="414" spans="2:3" ht="14.25" customHeight="1">
      <c r="B414" s="7"/>
      <c r="C414" s="8"/>
    </row>
    <row r="415" spans="2:3" ht="14.25" customHeight="1">
      <c r="B415" s="7"/>
      <c r="C415" s="8"/>
    </row>
    <row r="416" spans="2:3" ht="14.25" customHeight="1">
      <c r="B416" s="7"/>
      <c r="C416" s="8"/>
    </row>
    <row r="417" spans="2:3" ht="14.25" customHeight="1">
      <c r="B417" s="7"/>
      <c r="C417" s="8"/>
    </row>
    <row r="418" spans="2:3" ht="14.25" customHeight="1">
      <c r="B418" s="7"/>
      <c r="C418" s="8"/>
    </row>
    <row r="419" spans="2:3" ht="14.25" customHeight="1">
      <c r="B419" s="7"/>
      <c r="C419" s="8"/>
    </row>
    <row r="420" spans="2:3" ht="14.25" customHeight="1">
      <c r="B420" s="7"/>
      <c r="C420" s="8"/>
    </row>
    <row r="421" spans="2:3" ht="14.25" customHeight="1">
      <c r="B421" s="7"/>
      <c r="C421" s="8"/>
    </row>
    <row r="422" spans="2:3" ht="14.25" customHeight="1">
      <c r="B422" s="7"/>
      <c r="C422" s="8"/>
    </row>
    <row r="423" spans="2:3" ht="14.25" customHeight="1">
      <c r="B423" s="7"/>
      <c r="C423" s="8"/>
    </row>
    <row r="424" spans="2:3" ht="14.25" customHeight="1">
      <c r="B424" s="7"/>
      <c r="C424" s="8"/>
    </row>
    <row r="425" spans="2:3" ht="14.25" customHeight="1">
      <c r="B425" s="7"/>
      <c r="C425" s="8"/>
    </row>
    <row r="426" spans="2:3" ht="14.25" customHeight="1">
      <c r="B426" s="7"/>
      <c r="C426" s="8"/>
    </row>
    <row r="427" spans="2:3" ht="14.25" customHeight="1">
      <c r="B427" s="7"/>
      <c r="C427" s="8"/>
    </row>
    <row r="428" spans="2:3" ht="14.25" customHeight="1">
      <c r="B428" s="7"/>
      <c r="C428" s="8"/>
    </row>
    <row r="429" spans="2:3" ht="14.25" customHeight="1">
      <c r="B429" s="7"/>
      <c r="C429" s="8"/>
    </row>
    <row r="430" spans="2:3" ht="14.25" customHeight="1">
      <c r="B430" s="7"/>
      <c r="C430" s="8"/>
    </row>
    <row r="431" spans="2:3" ht="14.25" customHeight="1">
      <c r="B431" s="7"/>
      <c r="C431" s="8"/>
    </row>
    <row r="432" spans="2:3" ht="14.25" customHeight="1">
      <c r="B432" s="7"/>
      <c r="C432" s="8"/>
    </row>
    <row r="433" spans="2:3" ht="14.25" customHeight="1">
      <c r="B433" s="7"/>
      <c r="C433" s="8"/>
    </row>
    <row r="434" spans="2:3" ht="14.25" customHeight="1">
      <c r="B434" s="7"/>
      <c r="C434" s="8"/>
    </row>
    <row r="435" spans="2:3" ht="14.25" customHeight="1">
      <c r="B435" s="7"/>
      <c r="C435" s="8"/>
    </row>
    <row r="436" spans="2:3" ht="14.25" customHeight="1">
      <c r="B436" s="7"/>
      <c r="C436" s="8"/>
    </row>
    <row r="437" spans="2:3" ht="14.25" customHeight="1">
      <c r="B437" s="7"/>
      <c r="C437" s="8"/>
    </row>
    <row r="438" spans="2:3" ht="14.25" customHeight="1">
      <c r="B438" s="7"/>
      <c r="C438" s="8"/>
    </row>
    <row r="439" spans="2:3" ht="14.25" customHeight="1">
      <c r="B439" s="7"/>
      <c r="C439" s="8"/>
    </row>
    <row r="440" spans="2:3" ht="14.25" customHeight="1">
      <c r="B440" s="7"/>
      <c r="C440" s="8"/>
    </row>
    <row r="441" spans="2:3" ht="14.25" customHeight="1">
      <c r="B441" s="7"/>
      <c r="C441" s="8"/>
    </row>
    <row r="442" spans="2:3" ht="14.25" customHeight="1">
      <c r="B442" s="7"/>
      <c r="C442" s="8"/>
    </row>
    <row r="443" spans="2:3" ht="14.25" customHeight="1">
      <c r="B443" s="7"/>
      <c r="C443" s="8"/>
    </row>
    <row r="444" spans="2:3" ht="14.25" customHeight="1">
      <c r="B444" s="7"/>
      <c r="C444" s="8"/>
    </row>
    <row r="445" spans="2:3" ht="14.25" customHeight="1">
      <c r="B445" s="7"/>
      <c r="C445" s="8"/>
    </row>
    <row r="446" spans="2:3" ht="14.25" customHeight="1">
      <c r="B446" s="7"/>
      <c r="C446" s="8"/>
    </row>
    <row r="447" spans="2:3" ht="14.25" customHeight="1">
      <c r="B447" s="7"/>
      <c r="C447" s="8"/>
    </row>
    <row r="448" spans="2:3" ht="14.25" customHeight="1">
      <c r="B448" s="7"/>
      <c r="C448" s="8"/>
    </row>
    <row r="449" spans="2:3" ht="14.25" customHeight="1">
      <c r="B449" s="7"/>
      <c r="C449" s="8"/>
    </row>
    <row r="450" spans="2:3" ht="14.25" customHeight="1">
      <c r="B450" s="7"/>
      <c r="C450" s="8"/>
    </row>
    <row r="451" spans="2:3" ht="14.25" customHeight="1">
      <c r="B451" s="7"/>
      <c r="C451" s="8"/>
    </row>
    <row r="452" spans="2:3" ht="14.25" customHeight="1">
      <c r="B452" s="7"/>
      <c r="C452" s="8"/>
    </row>
    <row r="453" spans="2:3" ht="14.25" customHeight="1">
      <c r="B453" s="7"/>
      <c r="C453" s="8"/>
    </row>
    <row r="454" spans="2:3" ht="14.25" customHeight="1">
      <c r="B454" s="7"/>
      <c r="C454" s="8"/>
    </row>
    <row r="455" spans="2:3" ht="14.25" customHeight="1">
      <c r="B455" s="7"/>
      <c r="C455" s="8"/>
    </row>
    <row r="456" spans="2:3" ht="14.25" customHeight="1">
      <c r="B456" s="7"/>
      <c r="C456" s="8"/>
    </row>
    <row r="457" spans="2:3" ht="14.25" customHeight="1">
      <c r="B457" s="7"/>
      <c r="C457" s="8"/>
    </row>
    <row r="458" spans="2:3" ht="14.25" customHeight="1">
      <c r="B458" s="7"/>
      <c r="C458" s="8"/>
    </row>
    <row r="459" spans="2:3" ht="14.25" customHeight="1">
      <c r="B459" s="7"/>
      <c r="C459" s="8"/>
    </row>
    <row r="460" spans="2:3" ht="14.25" customHeight="1">
      <c r="B460" s="7"/>
      <c r="C460" s="8"/>
    </row>
    <row r="461" spans="2:3" ht="14.25" customHeight="1">
      <c r="B461" s="7"/>
      <c r="C461" s="8"/>
    </row>
    <row r="462" spans="2:3" ht="14.25" customHeight="1">
      <c r="B462" s="7"/>
      <c r="C462" s="8"/>
    </row>
    <row r="463" spans="2:3" ht="14.25" customHeight="1">
      <c r="B463" s="7"/>
      <c r="C463" s="8"/>
    </row>
    <row r="464" spans="2:3" ht="14.25" customHeight="1">
      <c r="B464" s="7"/>
      <c r="C464" s="8"/>
    </row>
    <row r="465" spans="2:3" ht="14.25" customHeight="1">
      <c r="B465" s="7"/>
      <c r="C465" s="8"/>
    </row>
    <row r="466" spans="2:3" ht="14.25" customHeight="1">
      <c r="B466" s="7"/>
      <c r="C466" s="8"/>
    </row>
    <row r="467" spans="2:3" ht="14.25" customHeight="1">
      <c r="B467" s="7"/>
      <c r="C467" s="8"/>
    </row>
    <row r="468" spans="2:3" ht="14.25" customHeight="1">
      <c r="B468" s="7"/>
      <c r="C468" s="8"/>
    </row>
    <row r="469" spans="2:3" ht="14.25" customHeight="1">
      <c r="B469" s="7"/>
      <c r="C469" s="8"/>
    </row>
    <row r="470" spans="2:3" ht="14.25" customHeight="1">
      <c r="B470" s="7"/>
      <c r="C470" s="8"/>
    </row>
    <row r="471" spans="2:3" ht="14.25" customHeight="1">
      <c r="B471" s="7"/>
      <c r="C471" s="8"/>
    </row>
    <row r="472" spans="2:3" ht="14.25" customHeight="1">
      <c r="B472" s="7"/>
      <c r="C472" s="8"/>
    </row>
    <row r="473" spans="2:3" ht="14.25" customHeight="1">
      <c r="B473" s="7"/>
      <c r="C473" s="8"/>
    </row>
    <row r="474" spans="2:3" ht="14.25" customHeight="1">
      <c r="B474" s="7"/>
      <c r="C474" s="8"/>
    </row>
    <row r="475" spans="2:3" ht="14.25" customHeight="1">
      <c r="B475" s="7"/>
      <c r="C475" s="8"/>
    </row>
    <row r="476" spans="2:3" ht="14.25" customHeight="1">
      <c r="B476" s="7"/>
      <c r="C476" s="8"/>
    </row>
    <row r="477" spans="2:3" ht="14.25" customHeight="1">
      <c r="B477" s="7"/>
      <c r="C477" s="8"/>
    </row>
    <row r="478" spans="2:3" ht="14.25" customHeight="1">
      <c r="B478" s="7"/>
      <c r="C478" s="8"/>
    </row>
    <row r="479" spans="2:3" ht="14.25" customHeight="1">
      <c r="B479" s="7"/>
      <c r="C479" s="8"/>
    </row>
    <row r="480" spans="2:3" ht="14.25" customHeight="1">
      <c r="B480" s="7"/>
      <c r="C480" s="8"/>
    </row>
    <row r="481" spans="2:3" ht="14.25" customHeight="1">
      <c r="B481" s="7"/>
      <c r="C481" s="8"/>
    </row>
    <row r="482" spans="2:3" ht="14.25" customHeight="1">
      <c r="B482" s="7"/>
      <c r="C482" s="8"/>
    </row>
    <row r="483" spans="2:3" ht="14.25" customHeight="1">
      <c r="B483" s="7"/>
      <c r="C483" s="8"/>
    </row>
    <row r="484" spans="2:3" ht="14.25" customHeight="1">
      <c r="B484" s="7"/>
      <c r="C484" s="8"/>
    </row>
    <row r="485" spans="2:3" ht="14.25" customHeight="1">
      <c r="B485" s="7"/>
      <c r="C485" s="8"/>
    </row>
    <row r="486" spans="2:3" ht="14.25" customHeight="1">
      <c r="B486" s="7"/>
      <c r="C486" s="8"/>
    </row>
    <row r="487" spans="2:3" ht="14.25" customHeight="1">
      <c r="B487" s="7"/>
      <c r="C487" s="8"/>
    </row>
    <row r="488" spans="2:3" ht="14.25" customHeight="1">
      <c r="B488" s="7"/>
      <c r="C488" s="8"/>
    </row>
    <row r="489" spans="2:3" ht="14.25" customHeight="1">
      <c r="B489" s="7"/>
      <c r="C489" s="8"/>
    </row>
    <row r="490" spans="2:3" ht="14.25" customHeight="1">
      <c r="B490" s="7"/>
      <c r="C490" s="8"/>
    </row>
    <row r="491" spans="2:3" ht="14.25" customHeight="1">
      <c r="B491" s="7"/>
      <c r="C491" s="8"/>
    </row>
    <row r="492" spans="2:3" ht="14.25" customHeight="1">
      <c r="B492" s="7"/>
      <c r="C492" s="8"/>
    </row>
    <row r="493" spans="2:3" ht="14.25" customHeight="1">
      <c r="B493" s="7"/>
      <c r="C493" s="8"/>
    </row>
    <row r="494" spans="2:3" ht="14.25" customHeight="1">
      <c r="B494" s="7"/>
      <c r="C494" s="8"/>
    </row>
    <row r="495" spans="2:3" ht="14.25" customHeight="1">
      <c r="B495" s="7"/>
      <c r="C495" s="8"/>
    </row>
    <row r="496" spans="2:3" ht="14.25" customHeight="1">
      <c r="B496" s="7"/>
      <c r="C496" s="8"/>
    </row>
    <row r="497" spans="2:3" ht="14.25" customHeight="1">
      <c r="B497" s="7"/>
      <c r="C497" s="8"/>
    </row>
    <row r="498" spans="2:3" ht="14.25" customHeight="1">
      <c r="B498" s="7"/>
      <c r="C498" s="8"/>
    </row>
    <row r="499" spans="2:3" ht="14.25" customHeight="1">
      <c r="B499" s="7"/>
      <c r="C499" s="8"/>
    </row>
    <row r="500" spans="2:3" ht="14.25" customHeight="1">
      <c r="B500" s="7"/>
      <c r="C500" s="8"/>
    </row>
    <row r="501" spans="2:3" ht="14.25" customHeight="1">
      <c r="B501" s="7"/>
      <c r="C501" s="8"/>
    </row>
    <row r="502" spans="2:3" ht="14.25" customHeight="1">
      <c r="B502" s="7"/>
      <c r="C502" s="8"/>
    </row>
    <row r="503" spans="2:3" ht="14.25" customHeight="1">
      <c r="B503" s="7"/>
      <c r="C503" s="8"/>
    </row>
    <row r="504" spans="2:3" ht="14.25" customHeight="1">
      <c r="B504" s="7"/>
      <c r="C504" s="8"/>
    </row>
    <row r="505" spans="2:3" ht="14.25" customHeight="1">
      <c r="B505" s="7"/>
      <c r="C505" s="8"/>
    </row>
    <row r="506" spans="2:3" ht="14.25" customHeight="1">
      <c r="B506" s="7"/>
      <c r="C506" s="8"/>
    </row>
    <row r="507" spans="2:3" ht="14.25" customHeight="1">
      <c r="B507" s="7"/>
      <c r="C507" s="8"/>
    </row>
    <row r="508" spans="2:3" ht="14.25" customHeight="1">
      <c r="B508" s="7"/>
      <c r="C508" s="8"/>
    </row>
    <row r="509" spans="2:3" ht="14.25" customHeight="1">
      <c r="B509" s="7"/>
      <c r="C509" s="8"/>
    </row>
    <row r="510" spans="2:3" ht="14.25" customHeight="1">
      <c r="B510" s="7"/>
      <c r="C510" s="8"/>
    </row>
    <row r="511" spans="2:3" ht="14.25" customHeight="1">
      <c r="B511" s="7"/>
      <c r="C511" s="8"/>
    </row>
    <row r="512" spans="2:3" ht="14.25" customHeight="1">
      <c r="B512" s="7"/>
      <c r="C512" s="8"/>
    </row>
    <row r="513" spans="2:3" ht="14.25" customHeight="1">
      <c r="B513" s="7"/>
      <c r="C513" s="8"/>
    </row>
    <row r="514" spans="2:3" ht="14.25" customHeight="1">
      <c r="B514" s="7"/>
      <c r="C514" s="8"/>
    </row>
    <row r="515" spans="2:3" ht="14.25" customHeight="1">
      <c r="B515" s="7"/>
      <c r="C515" s="8"/>
    </row>
    <row r="516" spans="2:3" ht="14.25" customHeight="1">
      <c r="B516" s="7"/>
      <c r="C516" s="8"/>
    </row>
    <row r="517" spans="2:3" ht="14.25" customHeight="1">
      <c r="B517" s="7"/>
      <c r="C517" s="8"/>
    </row>
    <row r="518" spans="2:3" ht="14.25" customHeight="1">
      <c r="B518" s="7"/>
      <c r="C518" s="8"/>
    </row>
    <row r="519" spans="2:3" ht="14.25" customHeight="1">
      <c r="B519" s="7"/>
      <c r="C519" s="8"/>
    </row>
    <row r="520" spans="2:3" ht="14.25" customHeight="1">
      <c r="B520" s="7"/>
      <c r="C520" s="8"/>
    </row>
    <row r="521" spans="2:3" ht="14.25" customHeight="1">
      <c r="B521" s="7"/>
      <c r="C521" s="8"/>
    </row>
    <row r="522" spans="2:3" ht="14.25" customHeight="1">
      <c r="B522" s="7"/>
      <c r="C522" s="8"/>
    </row>
    <row r="523" spans="2:3" ht="14.25" customHeight="1">
      <c r="B523" s="7"/>
      <c r="C523" s="8"/>
    </row>
    <row r="524" spans="2:3" ht="14.25" customHeight="1">
      <c r="B524" s="7"/>
      <c r="C524" s="8"/>
    </row>
    <row r="525" spans="2:3" ht="14.25" customHeight="1">
      <c r="B525" s="7"/>
      <c r="C525" s="8"/>
    </row>
    <row r="526" spans="2:3" ht="14.25" customHeight="1">
      <c r="B526" s="7"/>
      <c r="C526" s="8"/>
    </row>
    <row r="527" spans="2:3" ht="14.25" customHeight="1">
      <c r="B527" s="7"/>
      <c r="C527" s="8"/>
    </row>
    <row r="528" spans="2:3" ht="14.25" customHeight="1">
      <c r="B528" s="7"/>
      <c r="C528" s="8"/>
    </row>
    <row r="529" spans="2:3" ht="14.25" customHeight="1">
      <c r="B529" s="7"/>
      <c r="C529" s="8"/>
    </row>
    <row r="530" spans="2:3" ht="14.25" customHeight="1">
      <c r="B530" s="7"/>
      <c r="C530" s="8"/>
    </row>
    <row r="531" spans="2:3" ht="14.25" customHeight="1">
      <c r="B531" s="7"/>
      <c r="C531" s="8"/>
    </row>
    <row r="532" spans="2:3" ht="14.25" customHeight="1">
      <c r="B532" s="7"/>
      <c r="C532" s="8"/>
    </row>
    <row r="533" spans="2:3" ht="14.25" customHeight="1">
      <c r="B533" s="7"/>
      <c r="C533" s="8"/>
    </row>
    <row r="534" spans="2:3" ht="14.25" customHeight="1">
      <c r="B534" s="7"/>
      <c r="C534" s="8"/>
    </row>
    <row r="535" spans="2:3" ht="14.25" customHeight="1">
      <c r="B535" s="7"/>
      <c r="C535" s="8"/>
    </row>
    <row r="536" spans="2:3" ht="14.25" customHeight="1">
      <c r="B536" s="7"/>
      <c r="C536" s="8"/>
    </row>
    <row r="537" spans="2:3" ht="14.25" customHeight="1">
      <c r="B537" s="7"/>
      <c r="C537" s="8"/>
    </row>
    <row r="538" spans="2:3" ht="14.25" customHeight="1">
      <c r="B538" s="7"/>
      <c r="C538" s="8"/>
    </row>
    <row r="539" spans="2:3" ht="14.25" customHeight="1">
      <c r="B539" s="7"/>
      <c r="C539" s="8"/>
    </row>
    <row r="540" spans="2:3" ht="14.25" customHeight="1">
      <c r="B540" s="7"/>
      <c r="C540" s="8"/>
    </row>
    <row r="541" spans="2:3" ht="14.25" customHeight="1">
      <c r="B541" s="7"/>
      <c r="C541" s="8"/>
    </row>
    <row r="542" spans="2:3" ht="14.25" customHeight="1">
      <c r="B542" s="7"/>
      <c r="C542" s="8"/>
    </row>
    <row r="543" spans="2:3" ht="14.25" customHeight="1">
      <c r="B543" s="7"/>
      <c r="C543" s="8"/>
    </row>
    <row r="544" spans="2:3" ht="14.25" customHeight="1">
      <c r="B544" s="7"/>
      <c r="C544" s="8"/>
    </row>
    <row r="545" spans="2:3" ht="14.25" customHeight="1">
      <c r="B545" s="7"/>
      <c r="C545" s="8"/>
    </row>
    <row r="546" spans="2:3" ht="14.25" customHeight="1">
      <c r="B546" s="7"/>
      <c r="C546" s="8"/>
    </row>
    <row r="547" spans="2:3" ht="14.25" customHeight="1">
      <c r="B547" s="7"/>
      <c r="C547" s="8"/>
    </row>
    <row r="548" spans="2:3" ht="14.25" customHeight="1">
      <c r="B548" s="7"/>
      <c r="C548" s="8"/>
    </row>
    <row r="549" spans="2:3" ht="14.25" customHeight="1">
      <c r="B549" s="7"/>
      <c r="C549" s="8"/>
    </row>
    <row r="550" spans="2:3" ht="14.25" customHeight="1">
      <c r="B550" s="7"/>
      <c r="C550" s="8"/>
    </row>
    <row r="551" spans="2:3" ht="14.25" customHeight="1">
      <c r="B551" s="7"/>
      <c r="C551" s="8"/>
    </row>
    <row r="552" spans="2:3" ht="14.25" customHeight="1">
      <c r="B552" s="7"/>
      <c r="C552" s="8"/>
    </row>
    <row r="553" spans="2:3" ht="14.25" customHeight="1">
      <c r="B553" s="7"/>
      <c r="C553" s="8"/>
    </row>
    <row r="554" spans="2:3" ht="14.25" customHeight="1">
      <c r="B554" s="7"/>
      <c r="C554" s="8"/>
    </row>
    <row r="555" spans="2:3" ht="14.25" customHeight="1">
      <c r="B555" s="7"/>
      <c r="C555" s="8"/>
    </row>
    <row r="556" spans="2:3" ht="14.25" customHeight="1">
      <c r="B556" s="7"/>
      <c r="C556" s="8"/>
    </row>
    <row r="557" spans="2:3" ht="14.25" customHeight="1">
      <c r="B557" s="7"/>
      <c r="C557" s="8"/>
    </row>
    <row r="558" spans="2:3" ht="14.25" customHeight="1">
      <c r="B558" s="7"/>
      <c r="C558" s="8"/>
    </row>
    <row r="559" spans="2:3" ht="14.25" customHeight="1">
      <c r="B559" s="7"/>
      <c r="C559" s="8"/>
    </row>
    <row r="560" spans="2:3" ht="14.25" customHeight="1">
      <c r="B560" s="7"/>
      <c r="C560" s="8"/>
    </row>
    <row r="561" spans="2:3" ht="14.25" customHeight="1">
      <c r="B561" s="7"/>
      <c r="C561" s="8"/>
    </row>
    <row r="562" spans="2:3" ht="14.25" customHeight="1">
      <c r="B562" s="7"/>
      <c r="C562" s="8"/>
    </row>
    <row r="563" spans="2:3" ht="14.25" customHeight="1">
      <c r="B563" s="7"/>
      <c r="C563" s="8"/>
    </row>
    <row r="564" spans="2:3" ht="14.25" customHeight="1">
      <c r="B564" s="7"/>
      <c r="C564" s="8"/>
    </row>
    <row r="565" spans="2:3" ht="14.25" customHeight="1">
      <c r="B565" s="7"/>
      <c r="C565" s="8"/>
    </row>
    <row r="566" spans="2:3" ht="14.25" customHeight="1">
      <c r="B566" s="7"/>
      <c r="C566" s="8"/>
    </row>
    <row r="567" spans="2:3" ht="14.25" customHeight="1">
      <c r="B567" s="7"/>
      <c r="C567" s="8"/>
    </row>
    <row r="568" spans="2:3" ht="14.25" customHeight="1">
      <c r="B568" s="7"/>
      <c r="C568" s="8"/>
    </row>
    <row r="569" spans="2:3" ht="14.25" customHeight="1">
      <c r="B569" s="7"/>
      <c r="C569" s="8"/>
    </row>
    <row r="570" spans="2:3" ht="14.25" customHeight="1">
      <c r="B570" s="7"/>
      <c r="C570" s="8"/>
    </row>
    <row r="571" spans="2:3" ht="14.25" customHeight="1">
      <c r="B571" s="7"/>
      <c r="C571" s="8"/>
    </row>
    <row r="572" spans="2:3" ht="14.25" customHeight="1">
      <c r="B572" s="7"/>
      <c r="C572" s="8"/>
    </row>
    <row r="573" spans="2:3" ht="14.25" customHeight="1">
      <c r="B573" s="7"/>
      <c r="C573" s="8"/>
    </row>
    <row r="574" spans="2:3" ht="14.25" customHeight="1">
      <c r="B574" s="7"/>
      <c r="C574" s="8"/>
    </row>
    <row r="575" spans="2:3" ht="14.25" customHeight="1">
      <c r="B575" s="7"/>
      <c r="C575" s="8"/>
    </row>
    <row r="576" spans="2:3" ht="14.25" customHeight="1">
      <c r="B576" s="7"/>
      <c r="C576" s="8"/>
    </row>
    <row r="577" spans="2:3" ht="14.25" customHeight="1">
      <c r="B577" s="7"/>
      <c r="C577" s="8"/>
    </row>
    <row r="578" spans="2:3" ht="14.25" customHeight="1">
      <c r="B578" s="7"/>
      <c r="C578" s="8"/>
    </row>
    <row r="579" spans="2:3" ht="14.25" customHeight="1">
      <c r="B579" s="7"/>
      <c r="C579" s="8"/>
    </row>
    <row r="580" spans="2:3" ht="14.25" customHeight="1">
      <c r="B580" s="7"/>
      <c r="C580" s="8"/>
    </row>
    <row r="581" spans="2:3" ht="14.25" customHeight="1">
      <c r="B581" s="7"/>
      <c r="C581" s="8"/>
    </row>
    <row r="582" spans="2:3" ht="14.25" customHeight="1">
      <c r="B582" s="7"/>
      <c r="C582" s="8"/>
    </row>
    <row r="583" spans="2:3" ht="14.25" customHeight="1">
      <c r="B583" s="7"/>
      <c r="C583" s="8"/>
    </row>
    <row r="584" spans="2:3" ht="14.25" customHeight="1">
      <c r="B584" s="7"/>
      <c r="C584" s="8"/>
    </row>
    <row r="585" spans="2:3" ht="14.25" customHeight="1">
      <c r="B585" s="7"/>
      <c r="C585" s="8"/>
    </row>
    <row r="586" spans="2:3" ht="14.25" customHeight="1">
      <c r="B586" s="7"/>
      <c r="C586" s="8"/>
    </row>
    <row r="587" spans="2:3" ht="14.25" customHeight="1">
      <c r="B587" s="7"/>
      <c r="C587" s="8"/>
    </row>
    <row r="588" spans="2:3" ht="14.25" customHeight="1">
      <c r="B588" s="7"/>
      <c r="C588" s="8"/>
    </row>
    <row r="589" spans="2:3" ht="14.25" customHeight="1">
      <c r="B589" s="7"/>
      <c r="C589" s="8"/>
    </row>
    <row r="590" spans="2:3" ht="14.25" customHeight="1">
      <c r="B590" s="7"/>
      <c r="C590" s="8"/>
    </row>
    <row r="591" spans="2:3" ht="14.25" customHeight="1">
      <c r="B591" s="7"/>
      <c r="C591" s="8"/>
    </row>
    <row r="592" spans="2:3" ht="14.25" customHeight="1">
      <c r="B592" s="7"/>
      <c r="C592" s="8"/>
    </row>
    <row r="593" spans="2:3" ht="14.25" customHeight="1">
      <c r="B593" s="7"/>
      <c r="C593" s="8"/>
    </row>
    <row r="594" spans="2:3" ht="14.25" customHeight="1">
      <c r="B594" s="7"/>
      <c r="C594" s="8"/>
    </row>
    <row r="595" spans="2:3" ht="14.25" customHeight="1">
      <c r="B595" s="7"/>
      <c r="C595" s="8"/>
    </row>
    <row r="596" spans="2:3" ht="14.25" customHeight="1">
      <c r="B596" s="7"/>
      <c r="C596" s="8"/>
    </row>
    <row r="597" spans="2:3" ht="14.25" customHeight="1">
      <c r="B597" s="7"/>
      <c r="C597" s="8"/>
    </row>
    <row r="598" spans="2:3" ht="14.25" customHeight="1">
      <c r="B598" s="7"/>
      <c r="C598" s="8"/>
    </row>
    <row r="599" spans="2:3" ht="14.25" customHeight="1">
      <c r="B599" s="7"/>
      <c r="C599" s="8"/>
    </row>
    <row r="600" spans="2:3" ht="14.25" customHeight="1">
      <c r="B600" s="7"/>
      <c r="C600" s="8"/>
    </row>
    <row r="601" spans="2:3" ht="14.25" customHeight="1">
      <c r="B601" s="7"/>
      <c r="C601" s="8"/>
    </row>
    <row r="602" spans="2:3" ht="14.25" customHeight="1">
      <c r="B602" s="7"/>
      <c r="C602" s="8"/>
    </row>
    <row r="603" spans="2:3" ht="14.25" customHeight="1">
      <c r="B603" s="7"/>
      <c r="C603" s="8"/>
    </row>
    <row r="604" spans="2:3" ht="14.25" customHeight="1">
      <c r="B604" s="7"/>
      <c r="C604" s="8"/>
    </row>
    <row r="605" spans="2:3" ht="14.25" customHeight="1">
      <c r="B605" s="7"/>
      <c r="C605" s="8"/>
    </row>
    <row r="606" spans="2:3" ht="14.25" customHeight="1">
      <c r="B606" s="7"/>
      <c r="C606" s="8"/>
    </row>
    <row r="607" spans="2:3" ht="14.25" customHeight="1">
      <c r="B607" s="7"/>
      <c r="C607" s="8"/>
    </row>
    <row r="608" spans="2:3" ht="14.25" customHeight="1">
      <c r="B608" s="7"/>
      <c r="C608" s="8"/>
    </row>
    <row r="609" spans="2:3" ht="14.25" customHeight="1">
      <c r="B609" s="7"/>
      <c r="C609" s="8"/>
    </row>
    <row r="610" spans="2:3" ht="14.25" customHeight="1">
      <c r="B610" s="7"/>
      <c r="C610" s="8"/>
    </row>
    <row r="611" spans="2:3" ht="14.25" customHeight="1">
      <c r="B611" s="7"/>
      <c r="C611" s="8"/>
    </row>
    <row r="612" spans="2:3" ht="14.25" customHeight="1">
      <c r="B612" s="7"/>
      <c r="C612" s="8"/>
    </row>
    <row r="613" spans="2:3" ht="14.25" customHeight="1">
      <c r="B613" s="7"/>
      <c r="C613" s="8"/>
    </row>
    <row r="614" spans="2:3" ht="14.25" customHeight="1">
      <c r="B614" s="7"/>
      <c r="C614" s="8"/>
    </row>
    <row r="615" spans="2:3" ht="14.25" customHeight="1">
      <c r="B615" s="7"/>
      <c r="C615" s="8"/>
    </row>
    <row r="616" spans="2:3" ht="14.25" customHeight="1">
      <c r="B616" s="7"/>
      <c r="C616" s="8"/>
    </row>
    <row r="617" spans="2:3" ht="14.25" customHeight="1">
      <c r="B617" s="7"/>
      <c r="C617" s="8"/>
    </row>
    <row r="618" spans="2:3" ht="14.25" customHeight="1">
      <c r="B618" s="7"/>
      <c r="C618" s="8"/>
    </row>
    <row r="619" spans="2:3" ht="14.25" customHeight="1">
      <c r="B619" s="7"/>
      <c r="C619" s="8"/>
    </row>
    <row r="620" spans="2:3" ht="14.25" customHeight="1">
      <c r="B620" s="7"/>
      <c r="C620" s="8"/>
    </row>
    <row r="621" spans="2:3" ht="14.25" customHeight="1">
      <c r="B621" s="7"/>
      <c r="C621" s="8"/>
    </row>
    <row r="622" spans="2:3" ht="14.25" customHeight="1">
      <c r="B622" s="7"/>
      <c r="C622" s="8"/>
    </row>
    <row r="623" spans="2:3" ht="14.25" customHeight="1">
      <c r="B623" s="7"/>
      <c r="C623" s="8"/>
    </row>
    <row r="624" spans="2:3" ht="14.25" customHeight="1">
      <c r="B624" s="7"/>
      <c r="C624" s="8"/>
    </row>
    <row r="625" spans="2:3" ht="14.25" customHeight="1">
      <c r="B625" s="7"/>
      <c r="C625" s="8"/>
    </row>
    <row r="626" spans="2:3" ht="14.25" customHeight="1">
      <c r="B626" s="7"/>
      <c r="C626" s="8"/>
    </row>
    <row r="627" spans="2:3" ht="14.25" customHeight="1">
      <c r="B627" s="7"/>
      <c r="C627" s="8"/>
    </row>
    <row r="628" spans="2:3" ht="14.25" customHeight="1">
      <c r="B628" s="7"/>
      <c r="C628" s="8"/>
    </row>
    <row r="629" spans="2:3" ht="14.25" customHeight="1">
      <c r="B629" s="7"/>
      <c r="C629" s="8"/>
    </row>
    <row r="630" spans="2:3" ht="14.25" customHeight="1">
      <c r="B630" s="7"/>
      <c r="C630" s="8"/>
    </row>
    <row r="631" spans="2:3" ht="14.25" customHeight="1">
      <c r="B631" s="7"/>
      <c r="C631" s="8"/>
    </row>
    <row r="632" spans="2:3" ht="14.25" customHeight="1">
      <c r="B632" s="7"/>
      <c r="C632" s="8"/>
    </row>
    <row r="633" spans="2:3" ht="14.25" customHeight="1">
      <c r="B633" s="7"/>
      <c r="C633" s="8"/>
    </row>
    <row r="634" spans="2:3" ht="14.25" customHeight="1">
      <c r="B634" s="7"/>
      <c r="C634" s="8"/>
    </row>
    <row r="635" spans="2:3" ht="14.25" customHeight="1">
      <c r="B635" s="7"/>
      <c r="C635" s="8"/>
    </row>
    <row r="636" spans="2:3" ht="14.25" customHeight="1">
      <c r="B636" s="7"/>
      <c r="C636" s="8"/>
    </row>
    <row r="637" spans="2:3" ht="14.25" customHeight="1">
      <c r="B637" s="7"/>
      <c r="C637" s="8"/>
    </row>
    <row r="638" spans="2:3" ht="14.25" customHeight="1">
      <c r="B638" s="7"/>
      <c r="C638" s="8"/>
    </row>
    <row r="639" spans="2:3" ht="14.25" customHeight="1">
      <c r="B639" s="7"/>
      <c r="C639" s="8"/>
    </row>
    <row r="640" spans="2:3" ht="14.25" customHeight="1">
      <c r="B640" s="7"/>
      <c r="C640" s="8"/>
    </row>
    <row r="641" spans="2:3" ht="14.25" customHeight="1">
      <c r="B641" s="7"/>
      <c r="C641" s="8"/>
    </row>
    <row r="642" spans="2:3" ht="14.25" customHeight="1">
      <c r="B642" s="7"/>
      <c r="C642" s="8"/>
    </row>
    <row r="643" spans="2:3" ht="14.25" customHeight="1">
      <c r="B643" s="7"/>
      <c r="C643" s="8"/>
    </row>
    <row r="644" spans="2:3" ht="14.25" customHeight="1">
      <c r="B644" s="7"/>
      <c r="C644" s="8"/>
    </row>
    <row r="645" spans="2:3" ht="14.25" customHeight="1">
      <c r="B645" s="7"/>
      <c r="C645" s="8"/>
    </row>
    <row r="646" spans="2:3" ht="14.25" customHeight="1">
      <c r="B646" s="7"/>
      <c r="C646" s="8"/>
    </row>
    <row r="647" spans="2:3" ht="14.25" customHeight="1">
      <c r="B647" s="7"/>
      <c r="C647" s="8"/>
    </row>
    <row r="648" spans="2:3" ht="14.25" customHeight="1">
      <c r="B648" s="7"/>
      <c r="C648" s="8"/>
    </row>
    <row r="649" spans="2:3" ht="14.25" customHeight="1">
      <c r="B649" s="7"/>
      <c r="C649" s="8"/>
    </row>
    <row r="650" spans="2:3" ht="14.25" customHeight="1">
      <c r="B650" s="7"/>
      <c r="C650" s="8"/>
    </row>
    <row r="651" spans="2:3" ht="14.25" customHeight="1">
      <c r="B651" s="7"/>
      <c r="C651" s="8"/>
    </row>
    <row r="652" spans="2:3" ht="14.25" customHeight="1">
      <c r="B652" s="7"/>
      <c r="C652" s="8"/>
    </row>
    <row r="653" spans="2:3" ht="14.25" customHeight="1">
      <c r="B653" s="7"/>
      <c r="C653" s="8"/>
    </row>
    <row r="654" spans="2:3" ht="14.25" customHeight="1">
      <c r="B654" s="7"/>
      <c r="C654" s="8"/>
    </row>
    <row r="655" spans="2:3" ht="14.25" customHeight="1">
      <c r="B655" s="7"/>
      <c r="C655" s="8"/>
    </row>
    <row r="656" spans="2:3" ht="14.25" customHeight="1">
      <c r="B656" s="7"/>
      <c r="C656" s="8"/>
    </row>
    <row r="657" spans="2:3" ht="14.25" customHeight="1">
      <c r="B657" s="7"/>
      <c r="C657" s="8"/>
    </row>
    <row r="658" spans="2:3" ht="14.25" customHeight="1">
      <c r="B658" s="7"/>
      <c r="C658" s="8"/>
    </row>
    <row r="659" spans="2:3" ht="14.25" customHeight="1">
      <c r="B659" s="7"/>
      <c r="C659" s="8"/>
    </row>
    <row r="660" spans="2:3" ht="14.25" customHeight="1">
      <c r="B660" s="7"/>
      <c r="C660" s="8"/>
    </row>
    <row r="661" spans="2:3" ht="14.25" customHeight="1">
      <c r="B661" s="7"/>
      <c r="C661" s="8"/>
    </row>
    <row r="662" spans="2:3" ht="14.25" customHeight="1">
      <c r="B662" s="7"/>
      <c r="C662" s="8"/>
    </row>
    <row r="663" spans="2:3" ht="14.25" customHeight="1">
      <c r="B663" s="7"/>
      <c r="C663" s="8"/>
    </row>
    <row r="664" spans="2:3" ht="14.25" customHeight="1">
      <c r="B664" s="7"/>
      <c r="C664" s="8"/>
    </row>
    <row r="665" spans="2:3" ht="14.25" customHeight="1">
      <c r="B665" s="7"/>
      <c r="C665" s="8"/>
    </row>
    <row r="666" spans="2:3" ht="14.25" customHeight="1">
      <c r="B666" s="7"/>
      <c r="C666" s="8"/>
    </row>
    <row r="667" spans="2:3" ht="14.25" customHeight="1">
      <c r="B667" s="7"/>
      <c r="C667" s="8"/>
    </row>
    <row r="668" spans="2:3" ht="14.25" customHeight="1">
      <c r="B668" s="7"/>
      <c r="C668" s="8"/>
    </row>
    <row r="669" spans="2:3" ht="14.25" customHeight="1">
      <c r="B669" s="7"/>
      <c r="C669" s="8"/>
    </row>
    <row r="670" spans="2:3" ht="14.25" customHeight="1">
      <c r="B670" s="7"/>
      <c r="C670" s="8"/>
    </row>
    <row r="671" spans="2:3" ht="14.25" customHeight="1">
      <c r="B671" s="7"/>
      <c r="C671" s="8"/>
    </row>
    <row r="672" spans="2:3" ht="14.25" customHeight="1">
      <c r="B672" s="7"/>
      <c r="C672" s="8"/>
    </row>
    <row r="673" spans="2:3" ht="14.25" customHeight="1">
      <c r="B673" s="7"/>
      <c r="C673" s="8"/>
    </row>
    <row r="674" spans="2:3" ht="14.25" customHeight="1">
      <c r="B674" s="7"/>
      <c r="C674" s="8"/>
    </row>
    <row r="675" spans="2:3" ht="14.25" customHeight="1">
      <c r="B675" s="7"/>
      <c r="C675" s="8"/>
    </row>
    <row r="676" spans="2:3" ht="14.25" customHeight="1">
      <c r="B676" s="7"/>
      <c r="C676" s="8"/>
    </row>
    <row r="677" spans="2:3" ht="14.25" customHeight="1">
      <c r="B677" s="7"/>
      <c r="C677" s="8"/>
    </row>
    <row r="678" spans="2:3" ht="14.25" customHeight="1">
      <c r="B678" s="7"/>
      <c r="C678" s="8"/>
    </row>
    <row r="679" spans="2:3" ht="14.25" customHeight="1">
      <c r="B679" s="7"/>
      <c r="C679" s="8"/>
    </row>
    <row r="680" spans="2:3" ht="14.25" customHeight="1">
      <c r="B680" s="7"/>
      <c r="C680" s="8"/>
    </row>
    <row r="681" spans="2:3" ht="14.25" customHeight="1">
      <c r="B681" s="7"/>
      <c r="C681" s="8"/>
    </row>
    <row r="682" spans="2:3" ht="14.25" customHeight="1">
      <c r="B682" s="7"/>
      <c r="C682" s="8"/>
    </row>
    <row r="683" spans="2:3" ht="14.25" customHeight="1">
      <c r="B683" s="7"/>
      <c r="C683" s="8"/>
    </row>
    <row r="684" spans="2:3" ht="14.25" customHeight="1">
      <c r="B684" s="7"/>
      <c r="C684" s="8"/>
    </row>
    <row r="685" spans="2:3" ht="14.25" customHeight="1">
      <c r="B685" s="7"/>
      <c r="C685" s="8"/>
    </row>
    <row r="686" spans="2:3" ht="14.25" customHeight="1">
      <c r="B686" s="7"/>
      <c r="C686" s="8"/>
    </row>
    <row r="687" spans="2:3" ht="14.25" customHeight="1">
      <c r="B687" s="7"/>
      <c r="C687" s="8"/>
    </row>
    <row r="688" spans="2:3" ht="14.25" customHeight="1">
      <c r="B688" s="7"/>
      <c r="C688" s="8"/>
    </row>
    <row r="689" spans="2:3" ht="14.25" customHeight="1">
      <c r="B689" s="7"/>
      <c r="C689" s="8"/>
    </row>
    <row r="690" spans="2:3" ht="14.25" customHeight="1">
      <c r="B690" s="7"/>
      <c r="C690" s="8"/>
    </row>
    <row r="691" spans="2:3" ht="14.25" customHeight="1">
      <c r="B691" s="7"/>
      <c r="C691" s="8"/>
    </row>
    <row r="692" spans="2:3" ht="14.25" customHeight="1">
      <c r="B692" s="7"/>
      <c r="C692" s="8"/>
    </row>
    <row r="693" spans="2:3" ht="14.25" customHeight="1">
      <c r="B693" s="7"/>
      <c r="C693" s="8"/>
    </row>
    <row r="694" spans="2:3" ht="14.25" customHeight="1">
      <c r="B694" s="7"/>
      <c r="C694" s="8"/>
    </row>
    <row r="695" spans="2:3" ht="14.25" customHeight="1">
      <c r="B695" s="7"/>
      <c r="C695" s="8"/>
    </row>
    <row r="696" spans="2:3" ht="14.25" customHeight="1">
      <c r="B696" s="7"/>
      <c r="C696" s="8"/>
    </row>
    <row r="697" spans="2:3" ht="14.25" customHeight="1">
      <c r="B697" s="7"/>
      <c r="C697" s="8"/>
    </row>
    <row r="698" spans="2:3" ht="14.25" customHeight="1">
      <c r="B698" s="7"/>
      <c r="C698" s="8"/>
    </row>
    <row r="699" spans="2:3" ht="14.25" customHeight="1">
      <c r="B699" s="7"/>
      <c r="C699" s="8"/>
    </row>
    <row r="700" spans="2:3" ht="14.25" customHeight="1">
      <c r="B700" s="7"/>
      <c r="C700" s="8"/>
    </row>
    <row r="701" spans="2:3" ht="14.25" customHeight="1">
      <c r="B701" s="7"/>
      <c r="C701" s="8"/>
    </row>
    <row r="702" spans="2:3" ht="14.25" customHeight="1">
      <c r="B702" s="7"/>
      <c r="C702" s="8"/>
    </row>
    <row r="703" spans="2:3" ht="14.25" customHeight="1">
      <c r="B703" s="7"/>
      <c r="C703" s="8"/>
    </row>
    <row r="704" spans="2:3" ht="14.25" customHeight="1">
      <c r="B704" s="7"/>
      <c r="C704" s="8"/>
    </row>
    <row r="705" spans="2:3" ht="14.25" customHeight="1">
      <c r="B705" s="7"/>
      <c r="C705" s="8"/>
    </row>
    <row r="706" spans="2:3" ht="14.25" customHeight="1">
      <c r="B706" s="7"/>
      <c r="C706" s="8"/>
    </row>
    <row r="707" spans="2:3" ht="14.25" customHeight="1">
      <c r="B707" s="7"/>
      <c r="C707" s="8"/>
    </row>
    <row r="708" spans="2:3" ht="14.25" customHeight="1">
      <c r="B708" s="7"/>
      <c r="C708" s="8"/>
    </row>
    <row r="709" spans="2:3" ht="14.25" customHeight="1">
      <c r="B709" s="7"/>
      <c r="C709" s="8"/>
    </row>
    <row r="710" spans="2:3" ht="14.25" customHeight="1">
      <c r="B710" s="7"/>
      <c r="C710" s="8"/>
    </row>
    <row r="711" spans="2:3" ht="14.25" customHeight="1">
      <c r="B711" s="7"/>
      <c r="C711" s="8"/>
    </row>
    <row r="712" spans="2:3" ht="14.25" customHeight="1">
      <c r="B712" s="7"/>
      <c r="C712" s="8"/>
    </row>
    <row r="713" spans="2:3" ht="14.25" customHeight="1">
      <c r="B713" s="7"/>
      <c r="C713" s="8"/>
    </row>
    <row r="714" spans="2:3" ht="14.25" customHeight="1">
      <c r="B714" s="7"/>
      <c r="C714" s="8"/>
    </row>
    <row r="715" spans="2:3" ht="14.25" customHeight="1">
      <c r="B715" s="7"/>
      <c r="C715" s="8"/>
    </row>
    <row r="716" spans="2:3" ht="14.25" customHeight="1">
      <c r="B716" s="7"/>
      <c r="C716" s="8"/>
    </row>
    <row r="717" spans="2:3" ht="14.25" customHeight="1">
      <c r="B717" s="7"/>
      <c r="C717" s="8"/>
    </row>
    <row r="718" spans="2:3" ht="14.25" customHeight="1">
      <c r="B718" s="7"/>
      <c r="C718" s="8"/>
    </row>
    <row r="719" spans="2:3" ht="14.25" customHeight="1">
      <c r="B719" s="7"/>
      <c r="C719" s="8"/>
    </row>
    <row r="720" spans="2:3" ht="14.25" customHeight="1">
      <c r="B720" s="7"/>
      <c r="C720" s="8"/>
    </row>
    <row r="721" spans="2:3" ht="14.25" customHeight="1">
      <c r="B721" s="7"/>
      <c r="C721" s="8"/>
    </row>
    <row r="722" spans="2:3" ht="14.25" customHeight="1">
      <c r="B722" s="7"/>
      <c r="C722" s="8"/>
    </row>
    <row r="723" spans="2:3" ht="14.25" customHeight="1">
      <c r="B723" s="7"/>
      <c r="C723" s="8"/>
    </row>
    <row r="724" spans="2:3" ht="14.25" customHeight="1">
      <c r="B724" s="7"/>
      <c r="C724" s="8"/>
    </row>
    <row r="725" spans="2:3" ht="14.25" customHeight="1">
      <c r="B725" s="7"/>
      <c r="C725" s="8"/>
    </row>
    <row r="726" spans="2:3" ht="14.25" customHeight="1">
      <c r="B726" s="7"/>
      <c r="C726" s="8"/>
    </row>
    <row r="727" spans="2:3" ht="14.25" customHeight="1">
      <c r="B727" s="7"/>
      <c r="C727" s="8"/>
    </row>
    <row r="728" spans="2:3" ht="14.25" customHeight="1">
      <c r="B728" s="7"/>
      <c r="C728" s="8"/>
    </row>
    <row r="729" spans="2:3" ht="14.25" customHeight="1">
      <c r="B729" s="7"/>
      <c r="C729" s="8"/>
    </row>
    <row r="730" spans="2:3" ht="14.25" customHeight="1">
      <c r="B730" s="7"/>
      <c r="C730" s="8"/>
    </row>
    <row r="731" spans="2:3" ht="14.25" customHeight="1">
      <c r="B731" s="7"/>
      <c r="C731" s="8"/>
    </row>
    <row r="732" spans="2:3" ht="14.25" customHeight="1">
      <c r="B732" s="7"/>
      <c r="C732" s="8"/>
    </row>
    <row r="733" spans="2:3" ht="14.25" customHeight="1">
      <c r="B733" s="7"/>
      <c r="C733" s="8"/>
    </row>
    <row r="734" spans="2:3" ht="14.25" customHeight="1">
      <c r="B734" s="7"/>
      <c r="C734" s="8"/>
    </row>
    <row r="735" spans="2:3" ht="14.25" customHeight="1">
      <c r="B735" s="7"/>
      <c r="C735" s="8"/>
    </row>
    <row r="736" spans="2:3" ht="14.25" customHeight="1">
      <c r="B736" s="7"/>
      <c r="C736" s="8"/>
    </row>
    <row r="737" spans="2:3" ht="14.25" customHeight="1">
      <c r="B737" s="7"/>
      <c r="C737" s="8"/>
    </row>
    <row r="738" spans="2:3" ht="14.25" customHeight="1">
      <c r="B738" s="7"/>
      <c r="C738" s="8"/>
    </row>
    <row r="739" spans="2:3" ht="14.25" customHeight="1">
      <c r="B739" s="7"/>
      <c r="C739" s="8"/>
    </row>
    <row r="740" spans="2:3" ht="14.25" customHeight="1">
      <c r="B740" s="7"/>
      <c r="C740" s="8"/>
    </row>
    <row r="741" spans="2:3" ht="14.25" customHeight="1">
      <c r="B741" s="7"/>
      <c r="C741" s="8"/>
    </row>
    <row r="742" spans="2:3" ht="14.25" customHeight="1">
      <c r="B742" s="7"/>
      <c r="C742" s="8"/>
    </row>
    <row r="743" spans="2:3" ht="14.25" customHeight="1">
      <c r="B743" s="7"/>
      <c r="C743" s="8"/>
    </row>
    <row r="744" spans="2:3" ht="14.25" customHeight="1">
      <c r="B744" s="7"/>
      <c r="C744" s="8"/>
    </row>
    <row r="745" spans="2:3" ht="14.25" customHeight="1">
      <c r="B745" s="7"/>
      <c r="C745" s="8"/>
    </row>
    <row r="746" spans="2:3" ht="14.25" customHeight="1">
      <c r="B746" s="7"/>
      <c r="C746" s="8"/>
    </row>
    <row r="747" spans="2:3" ht="14.25" customHeight="1">
      <c r="B747" s="7"/>
      <c r="C747" s="8"/>
    </row>
    <row r="748" spans="2:3" ht="14.25" customHeight="1">
      <c r="B748" s="7"/>
      <c r="C748" s="8"/>
    </row>
    <row r="749" spans="2:3" ht="14.25" customHeight="1">
      <c r="B749" s="7"/>
      <c r="C749" s="8"/>
    </row>
    <row r="750" spans="2:3" ht="14.25" customHeight="1">
      <c r="B750" s="7"/>
      <c r="C750" s="8"/>
    </row>
    <row r="751" spans="2:3" ht="14.25" customHeight="1">
      <c r="B751" s="7"/>
      <c r="C751" s="8"/>
    </row>
    <row r="752" spans="2:3" ht="14.25" customHeight="1">
      <c r="B752" s="7"/>
      <c r="C752" s="8"/>
    </row>
    <row r="753" spans="2:3" ht="14.25" customHeight="1">
      <c r="B753" s="7"/>
      <c r="C753" s="8"/>
    </row>
    <row r="754" spans="2:3" ht="14.25" customHeight="1">
      <c r="B754" s="7"/>
      <c r="C754" s="8"/>
    </row>
    <row r="755" spans="2:3" ht="14.25" customHeight="1">
      <c r="B755" s="7"/>
      <c r="C755" s="8"/>
    </row>
    <row r="756" spans="2:3" ht="14.25" customHeight="1">
      <c r="B756" s="7"/>
      <c r="C756" s="8"/>
    </row>
    <row r="757" spans="2:3" ht="14.25" customHeight="1">
      <c r="B757" s="7"/>
      <c r="C757" s="8"/>
    </row>
    <row r="758" spans="2:3" ht="14.25" customHeight="1">
      <c r="B758" s="7"/>
      <c r="C758" s="8"/>
    </row>
    <row r="759" spans="2:3" ht="14.25" customHeight="1">
      <c r="B759" s="7"/>
      <c r="C759" s="8"/>
    </row>
    <row r="760" spans="2:3" ht="14.25" customHeight="1">
      <c r="B760" s="7"/>
      <c r="C760" s="8"/>
    </row>
    <row r="761" spans="2:3" ht="14.25" customHeight="1">
      <c r="B761" s="7"/>
      <c r="C761" s="8"/>
    </row>
    <row r="762" spans="2:3" ht="14.25" customHeight="1">
      <c r="B762" s="7"/>
      <c r="C762" s="8"/>
    </row>
    <row r="763" spans="2:3" ht="14.25" customHeight="1">
      <c r="B763" s="7"/>
      <c r="C763" s="8"/>
    </row>
    <row r="764" spans="2:3" ht="14.25" customHeight="1">
      <c r="B764" s="7"/>
      <c r="C764" s="8"/>
    </row>
    <row r="765" spans="2:3" ht="14.25" customHeight="1">
      <c r="B765" s="7"/>
      <c r="C765" s="8"/>
    </row>
    <row r="766" spans="2:3" ht="14.25" customHeight="1">
      <c r="B766" s="7"/>
      <c r="C766" s="8"/>
    </row>
    <row r="767" spans="2:3" ht="14.25" customHeight="1">
      <c r="B767" s="7"/>
      <c r="C767" s="8"/>
    </row>
    <row r="768" spans="2:3" ht="14.25" customHeight="1">
      <c r="B768" s="7"/>
      <c r="C768" s="8"/>
    </row>
    <row r="769" spans="2:3" ht="14.25" customHeight="1">
      <c r="B769" s="7"/>
      <c r="C769" s="8"/>
    </row>
    <row r="770" spans="2:3" ht="14.25" customHeight="1">
      <c r="B770" s="7"/>
      <c r="C770" s="8"/>
    </row>
    <row r="771" spans="2:3" ht="14.25" customHeight="1">
      <c r="B771" s="7"/>
      <c r="C771" s="8"/>
    </row>
    <row r="772" spans="2:3" ht="14.25" customHeight="1">
      <c r="B772" s="7"/>
      <c r="C772" s="8"/>
    </row>
    <row r="773" spans="2:3" ht="14.25" customHeight="1">
      <c r="B773" s="7"/>
      <c r="C773" s="8"/>
    </row>
    <row r="774" spans="2:3" ht="14.25" customHeight="1">
      <c r="B774" s="7"/>
      <c r="C774" s="8"/>
    </row>
    <row r="775" spans="2:3" ht="14.25" customHeight="1">
      <c r="B775" s="7"/>
      <c r="C775" s="8"/>
    </row>
    <row r="776" spans="2:3" ht="14.25" customHeight="1">
      <c r="B776" s="7"/>
      <c r="C776" s="8"/>
    </row>
    <row r="777" spans="2:3" ht="14.25" customHeight="1">
      <c r="B777" s="7"/>
      <c r="C777" s="8"/>
    </row>
    <row r="778" spans="2:3" ht="14.25" customHeight="1">
      <c r="B778" s="7"/>
      <c r="C778" s="8"/>
    </row>
    <row r="779" spans="2:3" ht="14.25" customHeight="1">
      <c r="B779" s="7"/>
      <c r="C779" s="8"/>
    </row>
    <row r="780" spans="2:3" ht="14.25" customHeight="1">
      <c r="B780" s="7"/>
      <c r="C780" s="8"/>
    </row>
    <row r="781" spans="2:3" ht="14.25" customHeight="1">
      <c r="B781" s="7"/>
      <c r="C781" s="8"/>
    </row>
    <row r="782" spans="2:3" ht="14.25" customHeight="1">
      <c r="B782" s="7"/>
      <c r="C782" s="8"/>
    </row>
    <row r="783" spans="2:3" ht="14.25" customHeight="1">
      <c r="B783" s="7"/>
      <c r="C783" s="8"/>
    </row>
    <row r="784" spans="2:3" ht="14.25" customHeight="1">
      <c r="B784" s="7"/>
      <c r="C784" s="8"/>
    </row>
    <row r="785" spans="2:3" ht="14.25" customHeight="1">
      <c r="B785" s="7"/>
      <c r="C785" s="8"/>
    </row>
    <row r="786" spans="2:3" ht="14.25" customHeight="1">
      <c r="B786" s="7"/>
      <c r="C786" s="8"/>
    </row>
    <row r="787" spans="2:3" ht="14.25" customHeight="1">
      <c r="B787" s="7"/>
      <c r="C787" s="8"/>
    </row>
    <row r="788" spans="2:3" ht="14.25" customHeight="1">
      <c r="B788" s="7"/>
      <c r="C788" s="8"/>
    </row>
    <row r="789" spans="2:3" ht="14.25" customHeight="1">
      <c r="B789" s="7"/>
      <c r="C789" s="8"/>
    </row>
    <row r="790" spans="2:3" ht="14.25" customHeight="1">
      <c r="B790" s="7"/>
      <c r="C790" s="8"/>
    </row>
    <row r="791" spans="2:3" ht="14.25" customHeight="1">
      <c r="B791" s="7"/>
      <c r="C791" s="8"/>
    </row>
    <row r="792" spans="2:3" ht="14.25" customHeight="1">
      <c r="B792" s="7"/>
      <c r="C792" s="8"/>
    </row>
    <row r="793" spans="2:3" ht="14.25" customHeight="1">
      <c r="B793" s="7"/>
      <c r="C793" s="8"/>
    </row>
    <row r="794" spans="2:3" ht="14.25" customHeight="1">
      <c r="B794" s="7"/>
      <c r="C794" s="8"/>
    </row>
    <row r="795" spans="2:3" ht="14.25" customHeight="1">
      <c r="B795" s="7"/>
      <c r="C795" s="8"/>
    </row>
    <row r="796" spans="2:3" ht="14.25" customHeight="1">
      <c r="B796" s="7"/>
      <c r="C796" s="8"/>
    </row>
    <row r="797" spans="2:3" ht="14.25" customHeight="1">
      <c r="B797" s="7"/>
      <c r="C797" s="8"/>
    </row>
    <row r="798" spans="2:3" ht="14.25" customHeight="1">
      <c r="B798" s="7"/>
      <c r="C798" s="8"/>
    </row>
    <row r="799" spans="2:3" ht="14.25" customHeight="1">
      <c r="B799" s="7"/>
      <c r="C799" s="8"/>
    </row>
    <row r="800" spans="2:3" ht="14.25" customHeight="1">
      <c r="B800" s="7"/>
      <c r="C800" s="8"/>
    </row>
    <row r="801" spans="2:3" ht="14.25" customHeight="1">
      <c r="B801" s="7"/>
      <c r="C801" s="8"/>
    </row>
    <row r="802" spans="2:3" ht="14.25" customHeight="1">
      <c r="B802" s="7"/>
      <c r="C802" s="8"/>
    </row>
    <row r="803" spans="2:3" ht="14.25" customHeight="1">
      <c r="B803" s="7"/>
      <c r="C803" s="8"/>
    </row>
    <row r="804" spans="2:3" ht="14.25" customHeight="1">
      <c r="B804" s="7"/>
      <c r="C804" s="8"/>
    </row>
    <row r="805" spans="2:3" ht="14.25" customHeight="1">
      <c r="B805" s="7"/>
      <c r="C805" s="8"/>
    </row>
    <row r="806" spans="2:3" ht="14.25" customHeight="1">
      <c r="B806" s="7"/>
      <c r="C806" s="8"/>
    </row>
    <row r="807" spans="2:3" ht="14.25" customHeight="1">
      <c r="B807" s="7"/>
      <c r="C807" s="8"/>
    </row>
    <row r="808" spans="2:3" ht="14.25" customHeight="1">
      <c r="B808" s="7"/>
      <c r="C808" s="8"/>
    </row>
    <row r="809" spans="2:3" ht="14.25" customHeight="1">
      <c r="B809" s="7"/>
      <c r="C809" s="8"/>
    </row>
    <row r="810" spans="2:3" ht="14.25" customHeight="1">
      <c r="B810" s="7"/>
      <c r="C810" s="8"/>
    </row>
    <row r="811" spans="2:3" ht="14.25" customHeight="1">
      <c r="B811" s="7"/>
      <c r="C811" s="8"/>
    </row>
    <row r="812" spans="2:3" ht="14.25" customHeight="1">
      <c r="B812" s="7"/>
      <c r="C812" s="8"/>
    </row>
    <row r="813" spans="2:3" ht="14.25" customHeight="1">
      <c r="B813" s="7"/>
      <c r="C813" s="8"/>
    </row>
    <row r="814" spans="2:3" ht="14.25" customHeight="1">
      <c r="B814" s="7"/>
      <c r="C814" s="8"/>
    </row>
    <row r="815" spans="2:3" ht="14.25" customHeight="1">
      <c r="B815" s="7"/>
      <c r="C815" s="8"/>
    </row>
    <row r="816" spans="2:3" ht="14.25" customHeight="1">
      <c r="B816" s="7"/>
      <c r="C816" s="8"/>
    </row>
    <row r="817" spans="2:3" ht="14.25" customHeight="1">
      <c r="B817" s="7"/>
      <c r="C817" s="8"/>
    </row>
    <row r="818" spans="2:3" ht="14.25" customHeight="1">
      <c r="B818" s="7"/>
      <c r="C818" s="8"/>
    </row>
    <row r="819" spans="2:3" ht="14.25" customHeight="1">
      <c r="B819" s="7"/>
      <c r="C819" s="8"/>
    </row>
    <row r="820" spans="2:3" ht="14.25" customHeight="1">
      <c r="B820" s="7"/>
      <c r="C820" s="8"/>
    </row>
    <row r="821" spans="2:3" ht="14.25" customHeight="1">
      <c r="B821" s="7"/>
      <c r="C821" s="8"/>
    </row>
    <row r="822" spans="2:3" ht="14.25" customHeight="1">
      <c r="B822" s="7"/>
      <c r="C822" s="8"/>
    </row>
    <row r="823" spans="2:3" ht="14.25" customHeight="1">
      <c r="B823" s="7"/>
      <c r="C823" s="8"/>
    </row>
    <row r="824" spans="2:3" ht="14.25" customHeight="1">
      <c r="B824" s="7"/>
      <c r="C824" s="8"/>
    </row>
    <row r="825" spans="2:3" ht="14.25" customHeight="1">
      <c r="B825" s="7"/>
      <c r="C825" s="8"/>
    </row>
    <row r="826" spans="2:3" ht="14.25" customHeight="1">
      <c r="B826" s="7"/>
      <c r="C826" s="8"/>
    </row>
    <row r="827" spans="2:3" ht="14.25" customHeight="1">
      <c r="B827" s="7"/>
      <c r="C827" s="8"/>
    </row>
    <row r="828" spans="2:3" ht="14.25" customHeight="1">
      <c r="B828" s="7"/>
      <c r="C828" s="8"/>
    </row>
    <row r="829" spans="2:3" ht="14.25" customHeight="1">
      <c r="B829" s="7"/>
      <c r="C829" s="8"/>
    </row>
    <row r="830" spans="2:3" ht="14.25" customHeight="1">
      <c r="B830" s="7"/>
      <c r="C830" s="8"/>
    </row>
    <row r="831" spans="2:3" ht="14.25" customHeight="1">
      <c r="B831" s="7"/>
      <c r="C831" s="8"/>
    </row>
    <row r="832" spans="2:3" ht="14.25" customHeight="1">
      <c r="B832" s="7"/>
      <c r="C832" s="8"/>
    </row>
    <row r="833" spans="2:3" ht="14.25" customHeight="1">
      <c r="B833" s="7"/>
      <c r="C833" s="8"/>
    </row>
    <row r="834" spans="2:3" ht="14.25" customHeight="1">
      <c r="B834" s="7"/>
      <c r="C834" s="8"/>
    </row>
    <row r="835" spans="2:3" ht="14.25" customHeight="1">
      <c r="B835" s="7"/>
      <c r="C835" s="8"/>
    </row>
    <row r="836" spans="2:3" ht="14.25" customHeight="1">
      <c r="B836" s="7"/>
      <c r="C836" s="8"/>
    </row>
    <row r="837" spans="2:3" ht="14.25" customHeight="1">
      <c r="B837" s="7"/>
      <c r="C837" s="8"/>
    </row>
    <row r="838" spans="2:3" ht="14.25" customHeight="1">
      <c r="B838" s="7"/>
      <c r="C838" s="8"/>
    </row>
    <row r="839" spans="2:3" ht="14.25" customHeight="1">
      <c r="B839" s="7"/>
      <c r="C839" s="8"/>
    </row>
    <row r="840" spans="2:3" ht="14.25" customHeight="1">
      <c r="B840" s="7"/>
      <c r="C840" s="8"/>
    </row>
    <row r="841" spans="2:3" ht="14.25" customHeight="1">
      <c r="B841" s="7"/>
      <c r="C841" s="8"/>
    </row>
    <row r="842" spans="2:3" ht="14.25" customHeight="1">
      <c r="B842" s="7"/>
      <c r="C842" s="8"/>
    </row>
    <row r="843" spans="2:3" ht="14.25" customHeight="1">
      <c r="B843" s="7"/>
      <c r="C843" s="8"/>
    </row>
    <row r="844" spans="2:3" ht="14.25" customHeight="1">
      <c r="B844" s="7"/>
      <c r="C844" s="8"/>
    </row>
    <row r="845" spans="2:3" ht="14.25" customHeight="1">
      <c r="B845" s="7"/>
      <c r="C845" s="8"/>
    </row>
    <row r="846" spans="2:3" ht="14.25" customHeight="1">
      <c r="B846" s="7"/>
      <c r="C846" s="8"/>
    </row>
    <row r="847" spans="2:3" ht="14.25" customHeight="1">
      <c r="B847" s="7"/>
      <c r="C847" s="8"/>
    </row>
    <row r="848" spans="2:3" ht="14.25" customHeight="1">
      <c r="B848" s="7"/>
      <c r="C848" s="8"/>
    </row>
    <row r="849" spans="2:3" ht="14.25" customHeight="1">
      <c r="B849" s="7"/>
      <c r="C849" s="8"/>
    </row>
    <row r="850" spans="2:3" ht="14.25" customHeight="1">
      <c r="B850" s="7"/>
      <c r="C850" s="8"/>
    </row>
    <row r="851" spans="2:3" ht="14.25" customHeight="1">
      <c r="B851" s="7"/>
      <c r="C851" s="8"/>
    </row>
    <row r="852" spans="2:3" ht="14.25" customHeight="1">
      <c r="B852" s="7"/>
      <c r="C852" s="8"/>
    </row>
    <row r="853" spans="2:3" ht="14.25" customHeight="1">
      <c r="B853" s="7"/>
      <c r="C853" s="8"/>
    </row>
    <row r="854" spans="2:3" ht="14.25" customHeight="1">
      <c r="B854" s="7"/>
      <c r="C854" s="8"/>
    </row>
    <row r="855" spans="2:3" ht="14.25" customHeight="1">
      <c r="B855" s="7"/>
      <c r="C855" s="8"/>
    </row>
    <row r="856" spans="2:3" ht="14.25" customHeight="1">
      <c r="B856" s="7"/>
      <c r="C856" s="8"/>
    </row>
    <row r="857" spans="2:3" ht="14.25" customHeight="1">
      <c r="B857" s="7"/>
      <c r="C857" s="8"/>
    </row>
    <row r="858" spans="2:3" ht="14.25" customHeight="1">
      <c r="B858" s="7"/>
      <c r="C858" s="8"/>
    </row>
    <row r="859" spans="2:3" ht="14.25" customHeight="1">
      <c r="B859" s="7"/>
      <c r="C859" s="8"/>
    </row>
    <row r="860" spans="2:3" ht="14.25" customHeight="1">
      <c r="B860" s="7"/>
      <c r="C860" s="8"/>
    </row>
    <row r="861" spans="2:3" ht="14.25" customHeight="1">
      <c r="B861" s="7"/>
      <c r="C861" s="8"/>
    </row>
    <row r="862" spans="2:3" ht="14.25" customHeight="1">
      <c r="B862" s="7"/>
      <c r="C862" s="8"/>
    </row>
    <row r="863" spans="2:3" ht="14.25" customHeight="1">
      <c r="B863" s="7"/>
      <c r="C863" s="8"/>
    </row>
    <row r="864" spans="2:3" ht="14.25" customHeight="1">
      <c r="B864" s="7"/>
      <c r="C864" s="8"/>
    </row>
    <row r="865" spans="2:3" ht="14.25" customHeight="1">
      <c r="B865" s="7"/>
      <c r="C865" s="8"/>
    </row>
    <row r="866" spans="2:3" ht="14.25" customHeight="1">
      <c r="B866" s="7"/>
      <c r="C866" s="8"/>
    </row>
    <row r="867" spans="2:3" ht="14.25" customHeight="1">
      <c r="B867" s="7"/>
      <c r="C867" s="8"/>
    </row>
    <row r="868" spans="2:3" ht="14.25" customHeight="1">
      <c r="B868" s="7"/>
      <c r="C868" s="8"/>
    </row>
    <row r="869" spans="2:3" ht="14.25" customHeight="1">
      <c r="B869" s="7"/>
      <c r="C869" s="8"/>
    </row>
    <row r="870" spans="2:3" ht="14.25" customHeight="1">
      <c r="B870" s="7"/>
      <c r="C870" s="8"/>
    </row>
    <row r="871" spans="2:3" ht="14.25" customHeight="1">
      <c r="B871" s="7"/>
      <c r="C871" s="8"/>
    </row>
    <row r="872" spans="2:3" ht="14.25" customHeight="1">
      <c r="B872" s="7"/>
      <c r="C872" s="8"/>
    </row>
    <row r="873" spans="2:3" ht="14.25" customHeight="1">
      <c r="B873" s="7"/>
      <c r="C873" s="8"/>
    </row>
    <row r="874" spans="2:3" ht="14.25" customHeight="1">
      <c r="B874" s="7"/>
      <c r="C874" s="8"/>
    </row>
    <row r="875" spans="2:3" ht="14.25" customHeight="1">
      <c r="B875" s="7"/>
      <c r="C875" s="8"/>
    </row>
    <row r="876" spans="2:3" ht="14.25" customHeight="1">
      <c r="B876" s="7"/>
      <c r="C876" s="8"/>
    </row>
    <row r="877" spans="2:3" ht="14.25" customHeight="1">
      <c r="B877" s="7"/>
      <c r="C877" s="8"/>
    </row>
    <row r="878" spans="2:3" ht="14.25" customHeight="1">
      <c r="B878" s="7"/>
      <c r="C878" s="8"/>
    </row>
    <row r="879" spans="2:3" ht="14.25" customHeight="1">
      <c r="B879" s="7"/>
      <c r="C879" s="8"/>
    </row>
    <row r="880" spans="2:3" ht="14.25" customHeight="1">
      <c r="B880" s="7"/>
      <c r="C880" s="8"/>
    </row>
    <row r="881" spans="2:3" ht="14.25" customHeight="1">
      <c r="B881" s="7"/>
      <c r="C881" s="8"/>
    </row>
    <row r="882" spans="2:3" ht="14.25" customHeight="1">
      <c r="B882" s="7"/>
      <c r="C882" s="8"/>
    </row>
    <row r="883" spans="2:3" ht="14.25" customHeight="1">
      <c r="B883" s="7"/>
      <c r="C883" s="8"/>
    </row>
    <row r="884" spans="2:3" ht="14.25" customHeight="1">
      <c r="B884" s="7"/>
      <c r="C884" s="8"/>
    </row>
    <row r="885" spans="2:3" ht="14.25" customHeight="1">
      <c r="B885" s="7"/>
      <c r="C885" s="8"/>
    </row>
    <row r="886" spans="2:3" ht="14.25" customHeight="1">
      <c r="B886" s="7"/>
      <c r="C886" s="8"/>
    </row>
    <row r="887" spans="2:3" ht="14.25" customHeight="1">
      <c r="B887" s="7"/>
      <c r="C887" s="8"/>
    </row>
    <row r="888" spans="2:3" ht="14.25" customHeight="1">
      <c r="B888" s="7"/>
      <c r="C888" s="8"/>
    </row>
    <row r="889" spans="2:3" ht="14.25" customHeight="1">
      <c r="B889" s="7"/>
      <c r="C889" s="8"/>
    </row>
    <row r="890" spans="2:3" ht="14.25" customHeight="1">
      <c r="B890" s="7"/>
      <c r="C890" s="8"/>
    </row>
    <row r="891" spans="2:3" ht="14.25" customHeight="1">
      <c r="B891" s="7"/>
      <c r="C891" s="8"/>
    </row>
    <row r="892" spans="2:3" ht="14.25" customHeight="1">
      <c r="B892" s="7"/>
      <c r="C892" s="8"/>
    </row>
    <row r="893" spans="2:3" ht="14.25" customHeight="1">
      <c r="B893" s="7"/>
      <c r="C893" s="8"/>
    </row>
    <row r="894" spans="2:3" ht="14.25" customHeight="1">
      <c r="B894" s="7"/>
      <c r="C894" s="8"/>
    </row>
    <row r="895" spans="2:3" ht="14.25" customHeight="1">
      <c r="B895" s="7"/>
      <c r="C895" s="8"/>
    </row>
    <row r="896" spans="2:3" ht="14.25" customHeight="1">
      <c r="B896" s="7"/>
      <c r="C896" s="8"/>
    </row>
    <row r="897" spans="2:3" ht="14.25" customHeight="1">
      <c r="B897" s="7"/>
      <c r="C897" s="8"/>
    </row>
    <row r="898" spans="2:3" ht="14.25" customHeight="1">
      <c r="B898" s="7"/>
      <c r="C898" s="8"/>
    </row>
    <row r="899" spans="2:3" ht="14.25" customHeight="1">
      <c r="B899" s="7"/>
      <c r="C899" s="8"/>
    </row>
    <row r="900" spans="2:3" ht="14.25" customHeight="1">
      <c r="B900" s="7"/>
      <c r="C900" s="8"/>
    </row>
    <row r="901" spans="2:3" ht="14.25" customHeight="1">
      <c r="B901" s="7"/>
      <c r="C901" s="8"/>
    </row>
    <row r="902" spans="2:3" ht="14.25" customHeight="1">
      <c r="B902" s="7"/>
      <c r="C902" s="8"/>
    </row>
    <row r="903" spans="2:3" ht="14.25" customHeight="1">
      <c r="B903" s="7"/>
      <c r="C903" s="8"/>
    </row>
    <row r="904" spans="2:3" ht="14.25" customHeight="1">
      <c r="B904" s="7"/>
      <c r="C904" s="8"/>
    </row>
    <row r="905" spans="2:3" ht="14.25" customHeight="1">
      <c r="B905" s="7"/>
      <c r="C905" s="8"/>
    </row>
    <row r="906" spans="2:3" ht="14.25" customHeight="1">
      <c r="B906" s="7"/>
      <c r="C906" s="8"/>
    </row>
    <row r="907" spans="2:3" ht="14.25" customHeight="1">
      <c r="B907" s="7"/>
      <c r="C907" s="8"/>
    </row>
    <row r="908" spans="2:3" ht="14.25" customHeight="1">
      <c r="B908" s="7"/>
      <c r="C908" s="8"/>
    </row>
    <row r="909" spans="2:3" ht="14.25" customHeight="1">
      <c r="B909" s="7"/>
      <c r="C909" s="8"/>
    </row>
    <row r="910" spans="2:3" ht="14.25" customHeight="1">
      <c r="B910" s="7"/>
      <c r="C910" s="8"/>
    </row>
    <row r="911" spans="2:3" ht="14.25" customHeight="1">
      <c r="B911" s="7"/>
      <c r="C911" s="8"/>
    </row>
    <row r="912" spans="2:3" ht="14.25" customHeight="1">
      <c r="B912" s="7"/>
      <c r="C912" s="8"/>
    </row>
    <row r="913" spans="2:3" ht="14.25" customHeight="1">
      <c r="B913" s="7"/>
      <c r="C913" s="8"/>
    </row>
    <row r="914" spans="2:3" ht="14.25" customHeight="1">
      <c r="B914" s="7"/>
      <c r="C914" s="8"/>
    </row>
    <row r="915" spans="2:3" ht="14.25" customHeight="1">
      <c r="B915" s="7"/>
      <c r="C915" s="8"/>
    </row>
    <row r="916" spans="2:3" ht="14.25" customHeight="1">
      <c r="B916" s="7"/>
      <c r="C916" s="8"/>
    </row>
    <row r="917" spans="2:3" ht="14.25" customHeight="1">
      <c r="B917" s="7"/>
      <c r="C917" s="8"/>
    </row>
    <row r="918" spans="2:3" ht="14.25" customHeight="1">
      <c r="B918" s="7"/>
      <c r="C918" s="8"/>
    </row>
    <row r="919" spans="2:3" ht="14.25" customHeight="1">
      <c r="B919" s="7"/>
      <c r="C919" s="8"/>
    </row>
    <row r="920" spans="2:3" ht="14.25" customHeight="1">
      <c r="B920" s="7"/>
      <c r="C920" s="8"/>
    </row>
    <row r="921" spans="2:3" ht="14.25" customHeight="1">
      <c r="B921" s="7"/>
      <c r="C921" s="8"/>
    </row>
    <row r="922" spans="2:3" ht="14.25" customHeight="1">
      <c r="B922" s="7"/>
      <c r="C922" s="8"/>
    </row>
    <row r="923" spans="2:3" ht="14.25" customHeight="1">
      <c r="B923" s="7"/>
      <c r="C923" s="8"/>
    </row>
    <row r="924" spans="2:3" ht="14.25" customHeight="1">
      <c r="B924" s="7"/>
      <c r="C924" s="8"/>
    </row>
    <row r="925" spans="2:3" ht="14.25" customHeight="1">
      <c r="B925" s="7"/>
      <c r="C925" s="8"/>
    </row>
    <row r="926" spans="2:3" ht="14.25" customHeight="1">
      <c r="B926" s="7"/>
      <c r="C926" s="8"/>
    </row>
    <row r="927" spans="2:3" ht="14.25" customHeight="1">
      <c r="B927" s="7"/>
      <c r="C927" s="8"/>
    </row>
    <row r="928" spans="2:3" ht="14.25" customHeight="1">
      <c r="B928" s="7"/>
      <c r="C928" s="8"/>
    </row>
    <row r="929" spans="2:3" ht="14.25" customHeight="1">
      <c r="B929" s="7"/>
      <c r="C929" s="8"/>
    </row>
    <row r="930" spans="2:3" ht="14.25" customHeight="1">
      <c r="B930" s="7"/>
      <c r="C930" s="8"/>
    </row>
    <row r="931" spans="2:3" ht="14.25" customHeight="1">
      <c r="B931" s="7"/>
      <c r="C931" s="8"/>
    </row>
    <row r="932" spans="2:3" ht="14.25" customHeight="1">
      <c r="B932" s="7"/>
      <c r="C932" s="8"/>
    </row>
    <row r="933" spans="2:3" ht="14.25" customHeight="1">
      <c r="B933" s="7"/>
      <c r="C933" s="8"/>
    </row>
    <row r="934" spans="2:3" ht="14.25" customHeight="1">
      <c r="B934" s="7"/>
      <c r="C934" s="8"/>
    </row>
    <row r="935" spans="2:3" ht="14.25" customHeight="1">
      <c r="B935" s="7"/>
      <c r="C935" s="8"/>
    </row>
    <row r="936" spans="2:3" ht="14.25" customHeight="1">
      <c r="B936" s="7"/>
      <c r="C936" s="8"/>
    </row>
    <row r="937" spans="2:3" ht="14.25" customHeight="1">
      <c r="B937" s="7"/>
      <c r="C937" s="8"/>
    </row>
    <row r="938" spans="2:3" ht="14.25" customHeight="1">
      <c r="B938" s="7"/>
      <c r="C938" s="8"/>
    </row>
    <row r="939" spans="2:3" ht="14.25" customHeight="1">
      <c r="B939" s="7"/>
      <c r="C939" s="8"/>
    </row>
    <row r="940" spans="2:3" ht="14.25" customHeight="1">
      <c r="B940" s="7"/>
      <c r="C940" s="8"/>
    </row>
    <row r="941" spans="2:3" ht="14.25" customHeight="1">
      <c r="B941" s="7"/>
      <c r="C941" s="8"/>
    </row>
    <row r="942" spans="2:3" ht="14.25" customHeight="1">
      <c r="B942" s="7"/>
      <c r="C942" s="8"/>
    </row>
    <row r="943" spans="2:3" ht="14.25" customHeight="1">
      <c r="B943" s="7"/>
      <c r="C943" s="8"/>
    </row>
    <row r="944" spans="2:3" ht="14.25" customHeight="1">
      <c r="B944" s="7"/>
      <c r="C944" s="8"/>
    </row>
    <row r="945" spans="2:3" ht="14.25" customHeight="1">
      <c r="B945" s="7"/>
      <c r="C945" s="8"/>
    </row>
    <row r="946" spans="2:3" ht="14.25" customHeight="1">
      <c r="B946" s="7"/>
      <c r="C946" s="8"/>
    </row>
    <row r="947" spans="2:3" ht="14.25" customHeight="1">
      <c r="B947" s="7"/>
      <c r="C947" s="8"/>
    </row>
    <row r="948" spans="2:3" ht="14.25" customHeight="1">
      <c r="B948" s="7"/>
      <c r="C948" s="8"/>
    </row>
    <row r="949" spans="2:3" ht="14.25" customHeight="1">
      <c r="B949" s="7"/>
      <c r="C949" s="8"/>
    </row>
    <row r="950" spans="2:3" ht="14.25" customHeight="1">
      <c r="B950" s="7"/>
      <c r="C950" s="8"/>
    </row>
    <row r="951" spans="2:3" ht="14.25" customHeight="1">
      <c r="B951" s="7"/>
      <c r="C951" s="8"/>
    </row>
    <row r="952" spans="2:3" ht="14.25" customHeight="1">
      <c r="B952" s="7"/>
      <c r="C952" s="8"/>
    </row>
    <row r="953" spans="2:3" ht="14.25" customHeight="1">
      <c r="B953" s="7"/>
      <c r="C953" s="8"/>
    </row>
    <row r="954" spans="2:3" ht="14.25" customHeight="1">
      <c r="B954" s="7"/>
      <c r="C954" s="8"/>
    </row>
    <row r="955" spans="2:3" ht="14.25" customHeight="1">
      <c r="B955" s="7"/>
      <c r="C955" s="8"/>
    </row>
    <row r="956" spans="2:3" ht="14.25" customHeight="1">
      <c r="B956" s="7"/>
      <c r="C956" s="8"/>
    </row>
    <row r="957" spans="2:3" ht="14.25" customHeight="1">
      <c r="B957" s="7"/>
      <c r="C957" s="8"/>
    </row>
    <row r="958" spans="2:3" ht="14.25" customHeight="1">
      <c r="B958" s="7"/>
      <c r="C958" s="8"/>
    </row>
    <row r="959" spans="2:3" ht="14.25" customHeight="1">
      <c r="B959" s="7"/>
      <c r="C959" s="8"/>
    </row>
    <row r="960" spans="2:3" ht="14.25" customHeight="1">
      <c r="B960" s="7"/>
      <c r="C960" s="8"/>
    </row>
    <row r="961" spans="2:3" ht="14.25" customHeight="1">
      <c r="B961" s="7"/>
      <c r="C961" s="8"/>
    </row>
    <row r="962" spans="2:3" ht="14.25" customHeight="1">
      <c r="B962" s="7"/>
      <c r="C962" s="8"/>
    </row>
    <row r="963" spans="2:3" ht="14.25" customHeight="1">
      <c r="B963" s="7"/>
      <c r="C963" s="8"/>
    </row>
    <row r="964" spans="2:3" ht="14.25" customHeight="1">
      <c r="B964" s="7"/>
      <c r="C964" s="8"/>
    </row>
    <row r="965" spans="2:3" ht="14.25" customHeight="1">
      <c r="B965" s="7"/>
      <c r="C965" s="8"/>
    </row>
    <row r="966" spans="2:3" ht="14.25" customHeight="1">
      <c r="B966" s="7"/>
      <c r="C966" s="8"/>
    </row>
    <row r="967" spans="2:3" ht="14.25" customHeight="1">
      <c r="B967" s="7"/>
      <c r="C967" s="8"/>
    </row>
    <row r="968" spans="2:3" ht="14.25" customHeight="1">
      <c r="B968" s="7"/>
      <c r="C968" s="8"/>
    </row>
    <row r="969" spans="2:3" ht="14.25" customHeight="1">
      <c r="B969" s="7"/>
      <c r="C969" s="8"/>
    </row>
    <row r="970" spans="2:3" ht="14.25" customHeight="1">
      <c r="B970" s="7"/>
      <c r="C970" s="8"/>
    </row>
    <row r="971" spans="2:3" ht="14.25" customHeight="1">
      <c r="B971" s="7"/>
      <c r="C971" s="8"/>
    </row>
    <row r="972" spans="2:3" ht="14.25" customHeight="1">
      <c r="B972" s="7"/>
      <c r="C972" s="8"/>
    </row>
    <row r="973" spans="2:3" ht="14.25" customHeight="1">
      <c r="B973" s="7"/>
      <c r="C973" s="8"/>
    </row>
    <row r="974" spans="2:3" ht="14.25" customHeight="1">
      <c r="B974" s="7"/>
      <c r="C974" s="8"/>
    </row>
    <row r="975" spans="2:3" ht="14.25" customHeight="1">
      <c r="B975" s="7"/>
      <c r="C975" s="8"/>
    </row>
    <row r="976" spans="2:3" ht="14.25" customHeight="1">
      <c r="B976" s="7"/>
      <c r="C976" s="8"/>
    </row>
    <row r="977" spans="2:3" ht="14.25" customHeight="1">
      <c r="B977" s="7"/>
      <c r="C977" s="8"/>
    </row>
    <row r="978" spans="2:3" ht="14.25" customHeight="1">
      <c r="B978" s="7"/>
      <c r="C978" s="8"/>
    </row>
    <row r="979" spans="2:3" ht="14.25" customHeight="1">
      <c r="B979" s="7"/>
      <c r="C979" s="8"/>
    </row>
    <row r="980" spans="2:3" ht="14.25" customHeight="1">
      <c r="B980" s="7"/>
      <c r="C980" s="8"/>
    </row>
    <row r="981" spans="2:3" ht="14.25" customHeight="1">
      <c r="B981" s="7"/>
      <c r="C981" s="8"/>
    </row>
    <row r="982" spans="2:3" ht="14.25" customHeight="1">
      <c r="B982" s="7"/>
      <c r="C982" s="8"/>
    </row>
    <row r="983" spans="2:3" ht="14.25" customHeight="1">
      <c r="B983" s="7"/>
      <c r="C983" s="8"/>
    </row>
    <row r="984" spans="2:3" ht="14.25" customHeight="1">
      <c r="B984" s="7"/>
      <c r="C984" s="8"/>
    </row>
    <row r="985" spans="2:3" ht="14.25" customHeight="1">
      <c r="B985" s="7"/>
      <c r="C985" s="8"/>
    </row>
    <row r="986" spans="2:3" ht="14.25" customHeight="1">
      <c r="B986" s="7"/>
      <c r="C986" s="8"/>
    </row>
    <row r="987" spans="2:3" ht="14.25" customHeight="1">
      <c r="B987" s="7"/>
      <c r="C987" s="8"/>
    </row>
    <row r="988" spans="2:3" ht="14.25" customHeight="1">
      <c r="B988" s="7"/>
      <c r="C988" s="8"/>
    </row>
    <row r="989" spans="2:3" ht="14.25" customHeight="1">
      <c r="B989" s="7"/>
      <c r="C989" s="8"/>
    </row>
    <row r="990" spans="2:3" ht="14.25" customHeight="1">
      <c r="B990" s="7"/>
      <c r="C990" s="8"/>
    </row>
    <row r="991" spans="2:3" ht="14.25" customHeight="1">
      <c r="B991" s="7"/>
      <c r="C991" s="8"/>
    </row>
    <row r="992" spans="2:3" ht="14.25" customHeight="1">
      <c r="C992" s="8"/>
    </row>
    <row r="993" spans="3:3" ht="14.25" customHeight="1">
      <c r="C993" s="8"/>
    </row>
    <row r="994" spans="3:3" ht="14.25" customHeight="1">
      <c r="C994" s="8"/>
    </row>
    <row r="995" spans="3:3" ht="14.25" customHeight="1">
      <c r="C995" s="8"/>
    </row>
    <row r="996" spans="3:3" ht="14.25" customHeight="1">
      <c r="C996" s="8"/>
    </row>
    <row r="997" spans="3:3" ht="14.25" customHeight="1">
      <c r="C997" s="8"/>
    </row>
    <row r="998" spans="3:3" ht="14.25" customHeight="1">
      <c r="C998" s="8"/>
    </row>
    <row r="999" spans="3:3" ht="14.25" customHeight="1">
      <c r="C999" s="8"/>
    </row>
    <row r="1000" spans="3:3" ht="14.25" customHeight="1">
      <c r="C1000" s="8"/>
    </row>
    <row r="1001" spans="3:3" ht="14.25" customHeight="1">
      <c r="C1001" s="8"/>
    </row>
  </sheetData>
  <mergeCells count="10">
    <mergeCell ref="F4:P4"/>
    <mergeCell ref="F3:P3"/>
    <mergeCell ref="F14:P14"/>
    <mergeCell ref="F13:P13"/>
    <mergeCell ref="F6:P6"/>
    <mergeCell ref="F7:P7"/>
    <mergeCell ref="F8:P8"/>
    <mergeCell ref="F9:P9"/>
    <mergeCell ref="F12:P12"/>
    <mergeCell ref="F15:P15"/>
  </mergeCells>
  <dataValidations count="3">
    <dataValidation type="whole" showInputMessage="1" showErrorMessage="1" error="Choose tail type from 1 to 3" promptTitle="Choose tailtype" prompt="Enter a whole number from 1 to 3" sqref="B61" xr:uid="{719BA815-419E-41C7-9D05-0ACDC089BE5B}">
      <formula1>1</formula1>
      <formula2>3</formula2>
    </dataValidation>
    <dataValidation type="whole" showInputMessage="1" showErrorMessage="1" error="Choose fuselage type from 1 to 2" promptTitle="Choose fuselage type" prompt="Enter a whole number from 1 to 2" sqref="B62 B64" xr:uid="{5B5CC244-CAF4-44E4-A997-8A5C98F7C8A5}">
      <formula1>1</formula1>
      <formula2>2</formula2>
    </dataValidation>
    <dataValidation type="whole" errorStyle="warning" allowBlank="1" showInputMessage="1" showErrorMessage="1" error="Number of cases between 1 and 5" promptTitle="Case number" prompt="Choose case 1 or 2_x000a_" sqref="F20" xr:uid="{1DAE5769-7747-44D2-81C5-B161A6C1F5B7}">
      <formula1>1</formula1>
      <formula2>5</formula2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10</xdr:col>
                    <xdr:colOff>312420</xdr:colOff>
                    <xdr:row>16</xdr:row>
                    <xdr:rowOff>76200</xdr:rowOff>
                  </from>
                  <to>
                    <xdr:col>16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FileToExistingSheet">
                <anchor moveWithCells="1" sizeWithCells="1">
                  <from>
                    <xdr:col>0</xdr:col>
                    <xdr:colOff>30480</xdr:colOff>
                    <xdr:row>77</xdr:row>
                    <xdr:rowOff>22860</xdr:rowOff>
                  </from>
                  <to>
                    <xdr:col>1</xdr:col>
                    <xdr:colOff>929640</xdr:colOff>
                    <xdr:row>80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D1351-BA9E-4DF7-9338-F6D93554FDE4}">
  <sheetPr codeName="Sheet2"/>
  <dimension ref="A1:B197"/>
  <sheetViews>
    <sheetView workbookViewId="0">
      <selection activeCell="B8" sqref="B8"/>
    </sheetView>
  </sheetViews>
  <sheetFormatPr defaultRowHeight="14.4"/>
  <cols>
    <col min="1" max="1" width="25.21875" bestFit="1" customWidth="1"/>
    <col min="2" max="2" width="11.6640625" bestFit="1" customWidth="1"/>
    <col min="3" max="3" width="3.21875" bestFit="1" customWidth="1"/>
    <col min="4" max="4" width="8.5546875" bestFit="1" customWidth="1"/>
    <col min="5" max="5" width="4.109375" bestFit="1" customWidth="1"/>
    <col min="6" max="7" width="7.44140625" bestFit="1" customWidth="1"/>
  </cols>
  <sheetData>
    <row r="1" spans="1:2">
      <c r="A1" t="s">
        <v>27</v>
      </c>
    </row>
    <row r="3" spans="1:2">
      <c r="A3" t="s">
        <v>25</v>
      </c>
    </row>
    <row r="5" spans="1:2">
      <c r="A5" t="s">
        <v>23</v>
      </c>
    </row>
    <row r="6" spans="1:2">
      <c r="A6" t="s">
        <v>28</v>
      </c>
      <c r="B6">
        <v>2.33E-3</v>
      </c>
    </row>
    <row r="7" spans="1:2">
      <c r="A7" t="s">
        <v>29</v>
      </c>
      <c r="B7">
        <v>-6.5461799999999997</v>
      </c>
    </row>
    <row r="8" spans="1:2">
      <c r="A8" t="s">
        <v>30</v>
      </c>
      <c r="B8">
        <v>-1.2056500000000001</v>
      </c>
    </row>
    <row r="9" spans="1:2">
      <c r="A9" t="s">
        <v>31</v>
      </c>
      <c r="B9">
        <v>-1.83E-3</v>
      </c>
    </row>
    <row r="10" spans="1:2">
      <c r="A10" t="s">
        <v>32</v>
      </c>
      <c r="B10">
        <v>1.20539</v>
      </c>
    </row>
    <row r="11" spans="1:2">
      <c r="A11" t="s">
        <v>33</v>
      </c>
      <c r="B11">
        <v>2.853E-2</v>
      </c>
    </row>
    <row r="12" spans="1:2">
      <c r="A12" t="s">
        <v>34</v>
      </c>
      <c r="B12">
        <v>2.8526699999999999E-2</v>
      </c>
    </row>
    <row r="13" spans="1:2">
      <c r="A13" t="s">
        <v>35</v>
      </c>
      <c r="B13">
        <v>1.2048300000000001</v>
      </c>
    </row>
    <row r="15" spans="1:2">
      <c r="A15" t="s">
        <v>26</v>
      </c>
    </row>
    <row r="16" spans="1:2">
      <c r="A16" t="s">
        <v>36</v>
      </c>
      <c r="B16">
        <v>12.260187999999999</v>
      </c>
    </row>
    <row r="17" spans="1:2">
      <c r="A17" t="s">
        <v>37</v>
      </c>
      <c r="B17">
        <v>-2.676E-3</v>
      </c>
    </row>
    <row r="18" spans="1:2">
      <c r="A18" t="s">
        <v>38</v>
      </c>
      <c r="B18">
        <v>2.5799999999999998E-3</v>
      </c>
    </row>
    <row r="19" spans="1:2">
      <c r="A19" t="s">
        <v>39</v>
      </c>
      <c r="B19">
        <v>-1.1574500000000001</v>
      </c>
    </row>
    <row r="20" spans="1:2">
      <c r="A20" t="s">
        <v>40</v>
      </c>
      <c r="B20">
        <v>-1.9910000000000001E-3</v>
      </c>
    </row>
    <row r="21" spans="1:2">
      <c r="A21" t="s">
        <v>41</v>
      </c>
      <c r="B21">
        <v>-0.32609900000000003</v>
      </c>
    </row>
    <row r="22" spans="1:2">
      <c r="A22" t="s">
        <v>42</v>
      </c>
      <c r="B22">
        <v>-64.027389999999997</v>
      </c>
    </row>
    <row r="23" spans="1:2">
      <c r="A23" t="s">
        <v>43</v>
      </c>
      <c r="B23">
        <v>2.2610000000000002E-2</v>
      </c>
    </row>
    <row r="24" spans="1:2">
      <c r="A24" t="s">
        <v>44</v>
      </c>
      <c r="B24">
        <v>-2.042E-3</v>
      </c>
    </row>
    <row r="25" spans="1:2">
      <c r="A25" t="s">
        <v>45</v>
      </c>
      <c r="B25">
        <v>0.94922499999999999</v>
      </c>
    </row>
    <row r="26" spans="1:2">
      <c r="A26" t="s">
        <v>46</v>
      </c>
      <c r="B26" s="37">
        <v>9.7E-5</v>
      </c>
    </row>
    <row r="27" spans="1:2">
      <c r="A27" t="s">
        <v>47</v>
      </c>
      <c r="B27">
        <v>147.73516799999999</v>
      </c>
    </row>
    <row r="28" spans="1:2">
      <c r="A28" t="s">
        <v>48</v>
      </c>
      <c r="B28">
        <v>4.8789999999999997E-3</v>
      </c>
    </row>
    <row r="29" spans="1:2">
      <c r="A29" t="s">
        <v>49</v>
      </c>
      <c r="B29">
        <v>-5.1284999999999997E-2</v>
      </c>
    </row>
    <row r="30" spans="1:2">
      <c r="A30" t="s">
        <v>50</v>
      </c>
      <c r="B30">
        <v>4.3715999999999998E-2</v>
      </c>
    </row>
    <row r="31" spans="1:2">
      <c r="A31" t="s">
        <v>51</v>
      </c>
      <c r="B31">
        <v>2.063625</v>
      </c>
    </row>
    <row r="32" spans="1:2">
      <c r="A32" t="s">
        <v>52</v>
      </c>
      <c r="B32">
        <v>-1.0531090000000001</v>
      </c>
    </row>
    <row r="33" spans="1:2">
      <c r="A33" t="s">
        <v>53</v>
      </c>
      <c r="B33">
        <v>-2.8140000000000001E-3</v>
      </c>
    </row>
    <row r="34" spans="1:2">
      <c r="A34" t="s">
        <v>54</v>
      </c>
      <c r="B34">
        <v>0.72640099999999996</v>
      </c>
    </row>
    <row r="35" spans="1:2">
      <c r="A35" t="s">
        <v>55</v>
      </c>
      <c r="B35">
        <v>-1.56E-4</v>
      </c>
    </row>
    <row r="36" spans="1:2">
      <c r="A36" t="s">
        <v>56</v>
      </c>
      <c r="B36">
        <v>-855.29791299999999</v>
      </c>
    </row>
    <row r="37" spans="1:2">
      <c r="A37" t="s">
        <v>57</v>
      </c>
      <c r="B37">
        <v>-4.1665000000000001E-2</v>
      </c>
    </row>
    <row r="38" spans="1:2">
      <c r="A38" t="s">
        <v>58</v>
      </c>
      <c r="B38">
        <v>-5.8651000000000002E-2</v>
      </c>
    </row>
    <row r="39" spans="1:2">
      <c r="A39" t="s">
        <v>59</v>
      </c>
      <c r="B39">
        <v>-3.2538999999999998E-2</v>
      </c>
    </row>
    <row r="40" spans="1:2">
      <c r="A40" t="s">
        <v>60</v>
      </c>
      <c r="B40">
        <v>-1.7038720000000001</v>
      </c>
    </row>
    <row r="41" spans="1:2">
      <c r="A41" t="s">
        <v>61</v>
      </c>
      <c r="B41">
        <v>26.402042000000002</v>
      </c>
    </row>
    <row r="42" spans="1:2">
      <c r="A42" t="s">
        <v>25</v>
      </c>
    </row>
    <row r="44" spans="1:2">
      <c r="A44" t="s">
        <v>23</v>
      </c>
    </row>
    <row r="45" spans="1:2">
      <c r="A45" t="s">
        <v>28</v>
      </c>
      <c r="B45">
        <v>2.4199999999999998E-3</v>
      </c>
    </row>
    <row r="46" spans="1:2">
      <c r="A46" t="s">
        <v>29</v>
      </c>
      <c r="B46">
        <v>-8.7688900000000007</v>
      </c>
    </row>
    <row r="47" spans="1:2">
      <c r="A47" t="s">
        <v>30</v>
      </c>
      <c r="B47">
        <v>-1.6313599999999999</v>
      </c>
    </row>
    <row r="48" spans="1:2">
      <c r="A48" t="s">
        <v>31</v>
      </c>
      <c r="B48">
        <v>-1.9E-3</v>
      </c>
    </row>
    <row r="49" spans="1:2">
      <c r="A49" t="s">
        <v>32</v>
      </c>
      <c r="B49">
        <v>1.63195</v>
      </c>
    </row>
    <row r="50" spans="1:2">
      <c r="A50" t="s">
        <v>33</v>
      </c>
      <c r="B50">
        <v>4.8489999999999998E-2</v>
      </c>
    </row>
    <row r="51" spans="1:2">
      <c r="A51" t="s">
        <v>34</v>
      </c>
      <c r="B51">
        <v>4.8487000000000002E-2</v>
      </c>
    </row>
    <row r="52" spans="1:2">
      <c r="A52" t="s">
        <v>35</v>
      </c>
      <c r="B52">
        <v>1.6324700000000001</v>
      </c>
    </row>
    <row r="54" spans="1:2">
      <c r="A54" t="s">
        <v>26</v>
      </c>
    </row>
    <row r="55" spans="1:2">
      <c r="A55" t="s">
        <v>36</v>
      </c>
      <c r="B55">
        <v>12.174505</v>
      </c>
    </row>
    <row r="56" spans="1:2">
      <c r="A56" t="s">
        <v>37</v>
      </c>
      <c r="B56">
        <v>-2.6559999999999999E-3</v>
      </c>
    </row>
    <row r="57" spans="1:2">
      <c r="A57" t="s">
        <v>38</v>
      </c>
      <c r="B57">
        <v>2.333E-3</v>
      </c>
    </row>
    <row r="58" spans="1:2">
      <c r="A58" t="s">
        <v>39</v>
      </c>
      <c r="B58">
        <v>-1.1530899999999999</v>
      </c>
    </row>
    <row r="59" spans="1:2">
      <c r="A59" t="s">
        <v>40</v>
      </c>
      <c r="B59">
        <v>-2.147E-3</v>
      </c>
    </row>
    <row r="60" spans="1:2">
      <c r="A60" t="s">
        <v>41</v>
      </c>
      <c r="B60">
        <v>-0.33193699999999998</v>
      </c>
    </row>
    <row r="61" spans="1:2">
      <c r="A61" t="s">
        <v>42</v>
      </c>
      <c r="B61">
        <v>-63.272713000000003</v>
      </c>
    </row>
    <row r="62" spans="1:2">
      <c r="A62" t="s">
        <v>43</v>
      </c>
      <c r="B62">
        <v>2.2341E-2</v>
      </c>
    </row>
    <row r="63" spans="1:2">
      <c r="A63" t="s">
        <v>44</v>
      </c>
      <c r="B63">
        <v>-1.761E-3</v>
      </c>
    </row>
    <row r="64" spans="1:2">
      <c r="A64" t="s">
        <v>45</v>
      </c>
      <c r="B64">
        <v>0.95077299999999998</v>
      </c>
    </row>
    <row r="65" spans="1:2">
      <c r="A65" t="s">
        <v>46</v>
      </c>
      <c r="B65">
        <v>2.5999999999999998E-4</v>
      </c>
    </row>
    <row r="66" spans="1:2">
      <c r="A66" t="s">
        <v>47</v>
      </c>
      <c r="B66">
        <v>148.36930799999999</v>
      </c>
    </row>
    <row r="67" spans="1:2">
      <c r="A67" t="s">
        <v>48</v>
      </c>
      <c r="B67">
        <v>4.8339999999999998E-3</v>
      </c>
    </row>
    <row r="68" spans="1:2">
      <c r="A68" t="s">
        <v>49</v>
      </c>
      <c r="B68">
        <v>0.11512</v>
      </c>
    </row>
    <row r="69" spans="1:2">
      <c r="A69" t="s">
        <v>50</v>
      </c>
      <c r="B69">
        <v>4.2164E-2</v>
      </c>
    </row>
    <row r="70" spans="1:2">
      <c r="A70" t="s">
        <v>51</v>
      </c>
      <c r="B70">
        <v>2.0585840000000002</v>
      </c>
    </row>
    <row r="71" spans="1:2">
      <c r="A71" t="s">
        <v>52</v>
      </c>
      <c r="B71">
        <v>-1.0303819999999999</v>
      </c>
    </row>
    <row r="72" spans="1:2">
      <c r="A72" t="s">
        <v>53</v>
      </c>
      <c r="B72">
        <v>-4.3699999999999998E-3</v>
      </c>
    </row>
    <row r="73" spans="1:2">
      <c r="A73" t="s">
        <v>54</v>
      </c>
      <c r="B73">
        <v>0.78747999999999996</v>
      </c>
    </row>
    <row r="74" spans="1:2">
      <c r="A74" t="s">
        <v>55</v>
      </c>
      <c r="B74">
        <v>-1.5579999999999999E-3</v>
      </c>
    </row>
    <row r="75" spans="1:2">
      <c r="A75" t="s">
        <v>56</v>
      </c>
      <c r="B75">
        <v>-854.95080600000006</v>
      </c>
    </row>
    <row r="76" spans="1:2">
      <c r="A76" t="s">
        <v>57</v>
      </c>
      <c r="B76">
        <v>-4.1238999999999998E-2</v>
      </c>
    </row>
    <row r="77" spans="1:2">
      <c r="A77" t="s">
        <v>58</v>
      </c>
      <c r="B77">
        <v>-0.199015</v>
      </c>
    </row>
    <row r="78" spans="1:2">
      <c r="A78" t="s">
        <v>59</v>
      </c>
      <c r="B78">
        <v>-3.0988000000000002E-2</v>
      </c>
    </row>
    <row r="79" spans="1:2">
      <c r="A79" t="s">
        <v>60</v>
      </c>
      <c r="B79">
        <v>-1.7107129999999999</v>
      </c>
    </row>
    <row r="80" spans="1:2">
      <c r="A80" t="s">
        <v>61</v>
      </c>
      <c r="B80">
        <v>26.274473</v>
      </c>
    </row>
    <row r="81" spans="1:2">
      <c r="A81" t="s">
        <v>25</v>
      </c>
    </row>
    <row r="83" spans="1:2">
      <c r="A83" t="s">
        <v>23</v>
      </c>
    </row>
    <row r="84" spans="1:2">
      <c r="A84" t="s">
        <v>28</v>
      </c>
      <c r="B84">
        <v>2.49E-3</v>
      </c>
    </row>
    <row r="85" spans="1:2">
      <c r="A85" t="s">
        <v>29</v>
      </c>
      <c r="B85">
        <v>-10.959860000000001</v>
      </c>
    </row>
    <row r="86" spans="1:2">
      <c r="A86" t="s">
        <v>30</v>
      </c>
      <c r="B86">
        <v>-2.0514800000000002</v>
      </c>
    </row>
    <row r="87" spans="1:2">
      <c r="A87" t="s">
        <v>31</v>
      </c>
      <c r="B87">
        <v>-1.9499999999999999E-3</v>
      </c>
    </row>
    <row r="88" spans="1:2">
      <c r="A88" t="s">
        <v>32</v>
      </c>
      <c r="B88">
        <v>2.0549499999999998</v>
      </c>
    </row>
    <row r="89" spans="1:2">
      <c r="A89" t="s">
        <v>33</v>
      </c>
      <c r="B89">
        <v>7.4499999999999997E-2</v>
      </c>
    </row>
    <row r="90" spans="1:2">
      <c r="A90" t="s">
        <v>34</v>
      </c>
      <c r="B90">
        <v>7.4503600000000003E-2</v>
      </c>
    </row>
    <row r="91" spans="1:2">
      <c r="A91" t="s">
        <v>35</v>
      </c>
      <c r="B91">
        <v>2.0581299999999998</v>
      </c>
    </row>
    <row r="93" spans="1:2">
      <c r="A93" t="s">
        <v>26</v>
      </c>
    </row>
    <row r="94" spans="1:2">
      <c r="A94" t="s">
        <v>36</v>
      </c>
      <c r="B94">
        <v>12.055642000000001</v>
      </c>
    </row>
    <row r="95" spans="1:2">
      <c r="A95" t="s">
        <v>37</v>
      </c>
      <c r="B95">
        <v>-2.6389999999999999E-3</v>
      </c>
    </row>
    <row r="96" spans="1:2">
      <c r="A96" t="s">
        <v>38</v>
      </c>
      <c r="B96">
        <v>2.075E-3</v>
      </c>
    </row>
    <row r="97" spans="1:2">
      <c r="A97" t="s">
        <v>39</v>
      </c>
      <c r="B97">
        <v>-1.1473249999999999</v>
      </c>
    </row>
    <row r="98" spans="1:2">
      <c r="A98" t="s">
        <v>40</v>
      </c>
      <c r="B98">
        <v>-2.2790000000000002E-3</v>
      </c>
    </row>
    <row r="99" spans="1:2">
      <c r="A99" t="s">
        <v>41</v>
      </c>
      <c r="B99">
        <v>-0.33765299999999998</v>
      </c>
    </row>
    <row r="100" spans="1:2">
      <c r="A100" t="s">
        <v>42</v>
      </c>
      <c r="B100">
        <v>-62.209774000000003</v>
      </c>
    </row>
    <row r="101" spans="1:2">
      <c r="A101" t="s">
        <v>43</v>
      </c>
      <c r="B101">
        <v>2.2044000000000001E-2</v>
      </c>
    </row>
    <row r="102" spans="1:2">
      <c r="A102" t="s">
        <v>44</v>
      </c>
      <c r="B102">
        <v>-1.462E-3</v>
      </c>
    </row>
    <row r="103" spans="1:2">
      <c r="A103" t="s">
        <v>45</v>
      </c>
      <c r="B103">
        <v>0.95272500000000004</v>
      </c>
    </row>
    <row r="104" spans="1:2">
      <c r="A104" t="s">
        <v>46</v>
      </c>
      <c r="B104">
        <v>4.2000000000000002E-4</v>
      </c>
    </row>
    <row r="105" spans="1:2">
      <c r="A105" t="s">
        <v>47</v>
      </c>
      <c r="B105">
        <v>149.15692100000001</v>
      </c>
    </row>
    <row r="106" spans="1:2">
      <c r="A106" t="s">
        <v>48</v>
      </c>
      <c r="B106">
        <v>4.7879999999999997E-3</v>
      </c>
    </row>
    <row r="107" spans="1:2">
      <c r="A107" t="s">
        <v>49</v>
      </c>
      <c r="B107">
        <v>0.28076899999999999</v>
      </c>
    </row>
    <row r="108" spans="1:2">
      <c r="A108" t="s">
        <v>50</v>
      </c>
      <c r="B108">
        <v>4.0559999999999999E-2</v>
      </c>
    </row>
    <row r="109" spans="1:2">
      <c r="A109" t="s">
        <v>51</v>
      </c>
      <c r="B109">
        <v>2.0419480000000001</v>
      </c>
    </row>
    <row r="110" spans="1:2">
      <c r="A110" t="s">
        <v>52</v>
      </c>
      <c r="B110">
        <v>-1.0103310000000001</v>
      </c>
    </row>
    <row r="111" spans="1:2">
      <c r="A111" t="s">
        <v>53</v>
      </c>
      <c r="B111">
        <v>-5.8170000000000001E-3</v>
      </c>
    </row>
    <row r="112" spans="1:2">
      <c r="A112" t="s">
        <v>54</v>
      </c>
      <c r="B112">
        <v>0.84727200000000003</v>
      </c>
    </row>
    <row r="113" spans="1:2">
      <c r="A113" t="s">
        <v>55</v>
      </c>
      <c r="B113">
        <v>-2.9269999999999999E-3</v>
      </c>
    </row>
    <row r="114" spans="1:2">
      <c r="A114" t="s">
        <v>56</v>
      </c>
      <c r="B114">
        <v>-853.56201199999998</v>
      </c>
    </row>
    <row r="115" spans="1:2">
      <c r="A115" t="s">
        <v>57</v>
      </c>
      <c r="B115">
        <v>-4.0715000000000001E-2</v>
      </c>
    </row>
    <row r="116" spans="1:2">
      <c r="A116" t="s">
        <v>58</v>
      </c>
      <c r="B116">
        <v>-0.33946399999999999</v>
      </c>
    </row>
    <row r="117" spans="1:2">
      <c r="A117" t="s">
        <v>59</v>
      </c>
      <c r="B117">
        <v>-2.9333000000000001E-2</v>
      </c>
    </row>
    <row r="118" spans="1:2">
      <c r="A118" t="s">
        <v>60</v>
      </c>
      <c r="B118">
        <v>-1.7115370000000001</v>
      </c>
    </row>
    <row r="119" spans="1:2">
      <c r="A119" t="s">
        <v>61</v>
      </c>
      <c r="B119">
        <v>26.087782000000001</v>
      </c>
    </row>
    <row r="120" spans="1:2">
      <c r="A120" t="s">
        <v>25</v>
      </c>
    </row>
    <row r="122" spans="1:2">
      <c r="A122" t="s">
        <v>23</v>
      </c>
    </row>
    <row r="123" spans="1:2">
      <c r="A123" t="s">
        <v>28</v>
      </c>
      <c r="B123">
        <v>2.5600000000000002E-3</v>
      </c>
    </row>
    <row r="124" spans="1:2">
      <c r="A124" t="s">
        <v>29</v>
      </c>
      <c r="B124">
        <v>-13.108420000000001</v>
      </c>
    </row>
    <row r="125" spans="1:2">
      <c r="A125" t="s">
        <v>30</v>
      </c>
      <c r="B125">
        <v>-2.4639500000000001</v>
      </c>
    </row>
    <row r="126" spans="1:2">
      <c r="A126" t="s">
        <v>31</v>
      </c>
      <c r="B126">
        <v>-2E-3</v>
      </c>
    </row>
    <row r="127" spans="1:2">
      <c r="A127" t="s">
        <v>32</v>
      </c>
      <c r="B127">
        <v>2.47322</v>
      </c>
    </row>
    <row r="128" spans="1:2">
      <c r="A128" t="s">
        <v>33</v>
      </c>
      <c r="B128">
        <v>0.10635</v>
      </c>
    </row>
    <row r="129" spans="1:2">
      <c r="A129" t="s">
        <v>34</v>
      </c>
      <c r="B129">
        <v>0.1063456</v>
      </c>
    </row>
    <row r="130" spans="1:2">
      <c r="A130" t="s">
        <v>35</v>
      </c>
      <c r="B130">
        <v>2.48129</v>
      </c>
    </row>
    <row r="132" spans="1:2">
      <c r="A132" t="s">
        <v>26</v>
      </c>
    </row>
    <row r="133" spans="1:2">
      <c r="A133" t="s">
        <v>36</v>
      </c>
      <c r="B133">
        <v>11.904342</v>
      </c>
    </row>
    <row r="134" spans="1:2">
      <c r="A134" t="s">
        <v>37</v>
      </c>
      <c r="B134">
        <v>-2.6259999999999999E-3</v>
      </c>
    </row>
    <row r="135" spans="1:2">
      <c r="A135" t="s">
        <v>38</v>
      </c>
      <c r="B135">
        <v>1.807E-3</v>
      </c>
    </row>
    <row r="136" spans="1:2">
      <c r="A136" t="s">
        <v>39</v>
      </c>
      <c r="B136">
        <v>-1.1401619999999999</v>
      </c>
    </row>
    <row r="137" spans="1:2">
      <c r="A137" t="s">
        <v>40</v>
      </c>
      <c r="B137">
        <v>-2.382E-3</v>
      </c>
    </row>
    <row r="138" spans="1:2">
      <c r="A138" t="s">
        <v>41</v>
      </c>
      <c r="B138">
        <v>-0.343219</v>
      </c>
    </row>
    <row r="139" spans="1:2">
      <c r="A139" t="s">
        <v>42</v>
      </c>
      <c r="B139">
        <v>-60.843741999999999</v>
      </c>
    </row>
    <row r="140" spans="1:2">
      <c r="A140" t="s">
        <v>43</v>
      </c>
      <c r="B140">
        <v>2.172E-2</v>
      </c>
    </row>
    <row r="141" spans="1:2">
      <c r="A141" t="s">
        <v>44</v>
      </c>
      <c r="B141">
        <v>-1.15E-3</v>
      </c>
    </row>
    <row r="142" spans="1:2">
      <c r="A142" t="s">
        <v>45</v>
      </c>
      <c r="B142">
        <v>0.95506999999999997</v>
      </c>
    </row>
    <row r="143" spans="1:2">
      <c r="A143" t="s">
        <v>46</v>
      </c>
      <c r="B143">
        <v>5.7799999999999995E-4</v>
      </c>
    </row>
    <row r="144" spans="1:2">
      <c r="A144" t="s">
        <v>47</v>
      </c>
      <c r="B144">
        <v>150.09416200000001</v>
      </c>
    </row>
    <row r="145" spans="1:2">
      <c r="A145" t="s">
        <v>48</v>
      </c>
      <c r="B145">
        <v>4.7410000000000004E-3</v>
      </c>
    </row>
    <row r="146" spans="1:2">
      <c r="A146" t="s">
        <v>49</v>
      </c>
      <c r="B146">
        <v>0.44485400000000003</v>
      </c>
    </row>
    <row r="147" spans="1:2">
      <c r="A147" t="s">
        <v>50</v>
      </c>
      <c r="B147">
        <v>3.8906999999999997E-2</v>
      </c>
    </row>
    <row r="148" spans="1:2">
      <c r="A148" t="s">
        <v>51</v>
      </c>
      <c r="B148">
        <v>2.0137969999999998</v>
      </c>
    </row>
    <row r="149" spans="1:2">
      <c r="A149" t="s">
        <v>52</v>
      </c>
      <c r="B149">
        <v>-0.99299400000000004</v>
      </c>
    </row>
    <row r="150" spans="1:2">
      <c r="A150" t="s">
        <v>53</v>
      </c>
      <c r="B150">
        <v>-7.1409999999999998E-3</v>
      </c>
    </row>
    <row r="151" spans="1:2">
      <c r="A151" t="s">
        <v>54</v>
      </c>
      <c r="B151">
        <v>0.90611699999999995</v>
      </c>
    </row>
    <row r="152" spans="1:2">
      <c r="A152" t="s">
        <v>55</v>
      </c>
      <c r="B152">
        <v>-4.2550000000000001E-3</v>
      </c>
    </row>
    <row r="153" spans="1:2">
      <c r="A153" t="s">
        <v>56</v>
      </c>
      <c r="B153">
        <v>-851.13330099999996</v>
      </c>
    </row>
    <row r="154" spans="1:2">
      <c r="A154" t="s">
        <v>57</v>
      </c>
      <c r="B154">
        <v>-4.0098000000000002E-2</v>
      </c>
    </row>
    <row r="155" spans="1:2">
      <c r="A155" t="s">
        <v>58</v>
      </c>
      <c r="B155">
        <v>-0.47941400000000001</v>
      </c>
    </row>
    <row r="156" spans="1:2">
      <c r="A156" t="s">
        <v>59</v>
      </c>
      <c r="B156">
        <v>-2.7581000000000001E-2</v>
      </c>
    </row>
    <row r="157" spans="1:2">
      <c r="A157" t="s">
        <v>60</v>
      </c>
      <c r="B157">
        <v>-1.706331</v>
      </c>
    </row>
    <row r="158" spans="1:2">
      <c r="A158" t="s">
        <v>61</v>
      </c>
      <c r="B158">
        <v>25.839220000000001</v>
      </c>
    </row>
    <row r="159" spans="1:2">
      <c r="A159" t="s">
        <v>25</v>
      </c>
    </row>
    <row r="161" spans="1:2">
      <c r="A161" t="s">
        <v>23</v>
      </c>
    </row>
    <row r="162" spans="1:2">
      <c r="A162" t="s">
        <v>28</v>
      </c>
      <c r="B162">
        <v>2.6199999999999999E-3</v>
      </c>
    </row>
    <row r="163" spans="1:2">
      <c r="A163" t="s">
        <v>29</v>
      </c>
      <c r="B163">
        <v>-15.20411</v>
      </c>
    </row>
    <row r="164" spans="1:2">
      <c r="A164" t="s">
        <v>30</v>
      </c>
      <c r="B164">
        <v>-2.8667699999999998</v>
      </c>
    </row>
    <row r="165" spans="1:2">
      <c r="A165" t="s">
        <v>31</v>
      </c>
      <c r="B165">
        <v>-2.0500000000000002E-3</v>
      </c>
    </row>
    <row r="166" spans="1:2">
      <c r="A166" t="s">
        <v>32</v>
      </c>
      <c r="B166">
        <v>2.8856600000000001</v>
      </c>
    </row>
    <row r="167" spans="1:2">
      <c r="A167" t="s">
        <v>33</v>
      </c>
      <c r="B167">
        <v>0.14371</v>
      </c>
    </row>
    <row r="168" spans="1:2">
      <c r="A168" t="s">
        <v>34</v>
      </c>
      <c r="B168">
        <v>0.14371039999999999</v>
      </c>
    </row>
    <row r="169" spans="1:2">
      <c r="A169" t="s">
        <v>35</v>
      </c>
      <c r="B169">
        <v>2.9014099999999998</v>
      </c>
    </row>
    <row r="171" spans="1:2">
      <c r="A171" t="s">
        <v>26</v>
      </c>
    </row>
    <row r="172" spans="1:2">
      <c r="A172" t="s">
        <v>36</v>
      </c>
      <c r="B172">
        <v>11.721581</v>
      </c>
    </row>
    <row r="173" spans="1:2">
      <c r="A173" t="s">
        <v>37</v>
      </c>
      <c r="B173">
        <v>-2.6150000000000001E-3</v>
      </c>
    </row>
    <row r="174" spans="1:2">
      <c r="A174" t="s">
        <v>38</v>
      </c>
      <c r="B174">
        <v>1.531E-3</v>
      </c>
    </row>
    <row r="175" spans="1:2">
      <c r="A175" t="s">
        <v>39</v>
      </c>
      <c r="B175">
        <v>-1.13161</v>
      </c>
    </row>
    <row r="176" spans="1:2">
      <c r="A176" t="s">
        <v>40</v>
      </c>
      <c r="B176">
        <v>-2.457E-3</v>
      </c>
    </row>
    <row r="177" spans="1:2">
      <c r="A177" t="s">
        <v>41</v>
      </c>
      <c r="B177">
        <v>-0.34860799999999997</v>
      </c>
    </row>
    <row r="178" spans="1:2">
      <c r="A178" t="s">
        <v>42</v>
      </c>
      <c r="B178">
        <v>-59.181300999999998</v>
      </c>
    </row>
    <row r="179" spans="1:2">
      <c r="A179" t="s">
        <v>43</v>
      </c>
      <c r="B179">
        <v>2.137E-2</v>
      </c>
    </row>
    <row r="180" spans="1:2">
      <c r="A180" t="s">
        <v>44</v>
      </c>
      <c r="B180">
        <v>-8.2600000000000002E-4</v>
      </c>
    </row>
    <row r="181" spans="1:2">
      <c r="A181" t="s">
        <v>45</v>
      </c>
      <c r="B181">
        <v>0.95779899999999996</v>
      </c>
    </row>
    <row r="182" spans="1:2">
      <c r="A182" t="s">
        <v>46</v>
      </c>
      <c r="B182">
        <v>7.3300000000000004E-4</v>
      </c>
    </row>
    <row r="183" spans="1:2">
      <c r="A183" t="s">
        <v>47</v>
      </c>
      <c r="B183">
        <v>151.17645300000001</v>
      </c>
    </row>
    <row r="184" spans="1:2">
      <c r="A184" t="s">
        <v>48</v>
      </c>
      <c r="B184">
        <v>4.6930000000000001E-3</v>
      </c>
    </row>
    <row r="185" spans="1:2">
      <c r="A185" t="s">
        <v>49</v>
      </c>
      <c r="B185">
        <v>0.60657499999999998</v>
      </c>
    </row>
    <row r="186" spans="1:2">
      <c r="A186" t="s">
        <v>50</v>
      </c>
      <c r="B186">
        <v>3.7206000000000003E-2</v>
      </c>
    </row>
    <row r="187" spans="1:2">
      <c r="A187" t="s">
        <v>51</v>
      </c>
      <c r="B187">
        <v>1.9742690000000001</v>
      </c>
    </row>
    <row r="188" spans="1:2">
      <c r="A188" t="s">
        <v>52</v>
      </c>
      <c r="B188">
        <v>-0.97836000000000001</v>
      </c>
    </row>
    <row r="189" spans="1:2">
      <c r="A189" t="s">
        <v>53</v>
      </c>
      <c r="B189">
        <v>-8.3409999999999995E-3</v>
      </c>
    </row>
    <row r="190" spans="1:2">
      <c r="A190" t="s">
        <v>54</v>
      </c>
      <c r="B190">
        <v>0.96435499999999996</v>
      </c>
    </row>
    <row r="191" spans="1:2">
      <c r="A191" t="s">
        <v>55</v>
      </c>
      <c r="B191">
        <v>-5.5380000000000004E-3</v>
      </c>
    </row>
    <row r="192" spans="1:2">
      <c r="A192" t="s">
        <v>56</v>
      </c>
      <c r="B192">
        <v>-847.66766399999995</v>
      </c>
    </row>
    <row r="193" spans="1:2">
      <c r="A193" t="s">
        <v>57</v>
      </c>
      <c r="B193">
        <v>-3.9390000000000001E-2</v>
      </c>
    </row>
    <row r="194" spans="1:2">
      <c r="A194" t="s">
        <v>58</v>
      </c>
      <c r="B194">
        <v>-0.61828300000000003</v>
      </c>
    </row>
    <row r="195" spans="1:2">
      <c r="A195" t="s">
        <v>59</v>
      </c>
      <c r="B195">
        <v>-2.5739999999999999E-2</v>
      </c>
    </row>
    <row r="196" spans="1:2">
      <c r="A196" t="s">
        <v>60</v>
      </c>
      <c r="B196">
        <v>-1.695133</v>
      </c>
    </row>
    <row r="197" spans="1:2">
      <c r="A197" t="s">
        <v>61</v>
      </c>
      <c r="B197">
        <v>25.525084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F6654-482D-415F-8A09-93CA4EF399E9}">
  <sheetPr codeName="Sheet4"/>
  <dimension ref="A1:B71"/>
  <sheetViews>
    <sheetView topLeftCell="A52" workbookViewId="0">
      <selection activeCell="A62" sqref="A62"/>
    </sheetView>
  </sheetViews>
  <sheetFormatPr defaultRowHeight="14.4"/>
  <cols>
    <col min="1" max="1" width="39" bestFit="1" customWidth="1"/>
    <col min="2" max="2" width="27.5546875" customWidth="1"/>
    <col min="3" max="3" width="3.44140625" bestFit="1" customWidth="1"/>
    <col min="4" max="4" width="8.5546875" bestFit="1" customWidth="1"/>
    <col min="5" max="5" width="3.5546875" bestFit="1" customWidth="1"/>
    <col min="6" max="6" width="7.77734375" bestFit="1" customWidth="1"/>
    <col min="7" max="7" width="7.109375" bestFit="1" customWidth="1"/>
  </cols>
  <sheetData>
    <row r="1" spans="1:2">
      <c r="A1" t="s">
        <v>67</v>
      </c>
    </row>
    <row r="3" spans="1:2">
      <c r="A3" t="s">
        <v>25</v>
      </c>
    </row>
    <row r="5" spans="1:2">
      <c r="A5" t="s">
        <v>65</v>
      </c>
    </row>
    <row r="6" spans="1:2">
      <c r="A6">
        <v>-835.32330022348697</v>
      </c>
    </row>
    <row r="7" spans="1:2">
      <c r="A7">
        <v>-86.998133277831997</v>
      </c>
    </row>
    <row r="8" spans="1:2">
      <c r="A8">
        <v>-0.22165859781028999</v>
      </c>
    </row>
    <row r="9" spans="1:2">
      <c r="A9">
        <v>-1.79631503344541E-3</v>
      </c>
    </row>
    <row r="11" spans="1:2">
      <c r="A11" t="s">
        <v>66</v>
      </c>
    </row>
    <row r="12" spans="1:2">
      <c r="A12" t="s">
        <v>70</v>
      </c>
      <c r="B12" t="str">
        <f>IF(IF(ISNUMBER(VALUE(LEFT(A12, FIND("+", A12)-1))), VALUE(LEFT(A12, FIND("+", A12)-1)), VALUE(LEFT(A12, FIND("-", A12, 2)-1))) &gt; 0, "Positive", "Negative")</f>
        <v>Negative</v>
      </c>
    </row>
    <row r="13" spans="1:2">
      <c r="A13" t="s">
        <v>71</v>
      </c>
    </row>
    <row r="14" spans="1:2">
      <c r="A14" t="s">
        <v>72</v>
      </c>
    </row>
    <row r="15" spans="1:2">
      <c r="A15" t="s">
        <v>73</v>
      </c>
    </row>
    <row r="17" spans="1:1">
      <c r="A17" t="s">
        <v>25</v>
      </c>
    </row>
    <row r="19" spans="1:1">
      <c r="A19" t="s">
        <v>65</v>
      </c>
    </row>
    <row r="20" spans="1:1">
      <c r="A20">
        <v>-835.16728509383597</v>
      </c>
    </row>
    <row r="21" spans="1:1">
      <c r="A21">
        <v>-86.051652059343397</v>
      </c>
    </row>
    <row r="22" spans="1:1">
      <c r="A22">
        <v>-0.20180651724285201</v>
      </c>
    </row>
    <row r="23" spans="1:1">
      <c r="A23">
        <v>-1.38876998102052E-3</v>
      </c>
    </row>
    <row r="25" spans="1:1">
      <c r="A25" t="s">
        <v>66</v>
      </c>
    </row>
    <row r="26" spans="1:1">
      <c r="A26" t="s">
        <v>74</v>
      </c>
    </row>
    <row r="27" spans="1:1">
      <c r="A27" t="s">
        <v>75</v>
      </c>
    </row>
    <row r="28" spans="1:1">
      <c r="A28" t="s">
        <v>76</v>
      </c>
    </row>
    <row r="29" spans="1:1">
      <c r="A29" t="s">
        <v>77</v>
      </c>
    </row>
    <row r="31" spans="1:1">
      <c r="A31" t="s">
        <v>25</v>
      </c>
    </row>
    <row r="33" spans="1:1">
      <c r="A33" t="s">
        <v>65</v>
      </c>
    </row>
    <row r="34" spans="1:1">
      <c r="A34">
        <v>-834.03557531847196</v>
      </c>
    </row>
    <row r="35" spans="1:1">
      <c r="A35">
        <v>-84.727876338267805</v>
      </c>
    </row>
    <row r="36" spans="1:1">
      <c r="A36">
        <v>-0.175916553348126</v>
      </c>
    </row>
    <row r="37" spans="1:1">
      <c r="A37">
        <v>-9.7226821631866305E-4</v>
      </c>
    </row>
    <row r="39" spans="1:1">
      <c r="A39" t="s">
        <v>66</v>
      </c>
    </row>
    <row r="40" spans="1:1">
      <c r="A40" t="s">
        <v>78</v>
      </c>
    </row>
    <row r="41" spans="1:1">
      <c r="A41" t="s">
        <v>79</v>
      </c>
    </row>
    <row r="42" spans="1:1">
      <c r="A42" t="s">
        <v>80</v>
      </c>
    </row>
    <row r="43" spans="1:1">
      <c r="A43" t="s">
        <v>81</v>
      </c>
    </row>
    <row r="45" spans="1:1">
      <c r="A45" t="s">
        <v>25</v>
      </c>
    </row>
    <row r="47" spans="1:1">
      <c r="A47" t="s">
        <v>65</v>
      </c>
    </row>
    <row r="48" spans="1:1">
      <c r="A48">
        <v>-831.93088684470501</v>
      </c>
    </row>
    <row r="49" spans="1:1">
      <c r="A49">
        <v>-83.031033908380394</v>
      </c>
    </row>
    <row r="50" spans="1:1">
      <c r="A50">
        <v>-0.14420761954703601</v>
      </c>
    </row>
    <row r="51" spans="1:1">
      <c r="A51">
        <v>-5.3831558399617004E-4</v>
      </c>
    </row>
    <row r="53" spans="1:1">
      <c r="A53" t="s">
        <v>66</v>
      </c>
    </row>
    <row r="54" spans="1:1">
      <c r="A54" t="s">
        <v>82</v>
      </c>
    </row>
    <row r="55" spans="1:1">
      <c r="A55" t="s">
        <v>83</v>
      </c>
    </row>
    <row r="56" spans="1:1">
      <c r="A56" t="s">
        <v>84</v>
      </c>
    </row>
    <row r="57" spans="1:1">
      <c r="A57" t="s">
        <v>85</v>
      </c>
    </row>
    <row r="59" spans="1:1">
      <c r="A59" t="s">
        <v>25</v>
      </c>
    </row>
    <row r="61" spans="1:1">
      <c r="A61" t="s">
        <v>65</v>
      </c>
    </row>
    <row r="62" spans="1:1">
      <c r="A62">
        <v>-828.85741052803201</v>
      </c>
    </row>
    <row r="63" spans="1:1">
      <c r="A63">
        <v>-80.966617208956393</v>
      </c>
    </row>
    <row r="64" spans="1:1">
      <c r="A64">
        <v>-0.107033715451647</v>
      </c>
    </row>
    <row r="65" spans="1:1">
      <c r="A65" s="37">
        <v>-6.3337816570099604E-5</v>
      </c>
    </row>
    <row r="67" spans="1:1">
      <c r="A67" t="s">
        <v>66</v>
      </c>
    </row>
    <row r="68" spans="1:1">
      <c r="A68" t="s">
        <v>86</v>
      </c>
    </row>
    <row r="69" spans="1:1">
      <c r="A69" t="s">
        <v>87</v>
      </c>
    </row>
    <row r="70" spans="1:1">
      <c r="A70" t="s">
        <v>88</v>
      </c>
    </row>
    <row r="71" spans="1:1">
      <c r="A71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C3503-FE8A-44A5-AC55-C39C50092D21}">
  <sheetPr codeName="Sheet3"/>
  <dimension ref="A1:F82"/>
  <sheetViews>
    <sheetView workbookViewId="0">
      <selection activeCell="G13" sqref="G13"/>
    </sheetView>
  </sheetViews>
  <sheetFormatPr defaultRowHeight="14.4"/>
  <cols>
    <col min="1" max="1" width="19.77734375" customWidth="1"/>
    <col min="2" max="2" width="17.5546875" style="21" customWidth="1"/>
    <col min="4" max="4" width="15.109375" customWidth="1"/>
    <col min="5" max="5" width="15" customWidth="1"/>
    <col min="6" max="6" width="13.21875" customWidth="1"/>
  </cols>
  <sheetData>
    <row r="1" spans="1:6" ht="21">
      <c r="A1" s="56" t="s">
        <v>68</v>
      </c>
      <c r="B1" s="56"/>
      <c r="D1" s="56" t="s">
        <v>69</v>
      </c>
      <c r="E1" s="56"/>
      <c r="F1" s="56"/>
    </row>
    <row r="3" spans="1:6" s="18" customFormat="1">
      <c r="A3" s="18" t="s">
        <v>16</v>
      </c>
      <c r="B3" s="36" t="s">
        <v>24</v>
      </c>
      <c r="E3" s="36" t="s">
        <v>90</v>
      </c>
      <c r="F3" s="36" t="s">
        <v>91</v>
      </c>
    </row>
    <row r="4" spans="1:6">
      <c r="A4" t="str">
        <f>'Stability derivatives'!A22</f>
        <v>Cma</v>
      </c>
      <c r="B4" s="35">
        <f>'Stability derivatives'!B22</f>
        <v>-64.027389999999997</v>
      </c>
      <c r="D4" s="18" t="s">
        <v>16</v>
      </c>
      <c r="E4" s="36" t="str" cm="1">
        <f t="array" ref="E4">IF(SUMPRODUCT(--('Dynamic stability'!A6:A9 &gt; 0)) &gt; 0, "unstable", "stable")</f>
        <v>stable</v>
      </c>
      <c r="F4" s="36" t="str" cm="1">
        <f t="array" ref="F4">IF(SUMPRODUCT(--(IFERROR(VALUE(LEFT('Dynamic stability'!A12:A15, FIND("+", 'Dynamic stability'!A12:A15&amp;"+")-1)), VALUE(LEFT('Dynamic stability'!A12:A15, FIND("-", 'Dynamic stability'!A12:A15&amp;"-", 2)-1))) &gt; 0)) &gt; 0, "unstable", "stable")</f>
        <v>unstable</v>
      </c>
    </row>
    <row r="5" spans="1:6">
      <c r="A5" t="str">
        <f>'Stability derivatives'!A21</f>
        <v>Clb</v>
      </c>
      <c r="B5" s="35">
        <f>'Stability derivatives'!B21</f>
        <v>-0.32609900000000003</v>
      </c>
      <c r="D5" s="18" t="s">
        <v>17</v>
      </c>
      <c r="E5" s="36" t="str" cm="1">
        <f t="array" ref="E5">IF(SUMPRODUCT(--('Dynamic stability'!A20:A23 &gt; 0)) &gt; 0, "unstable", "stable")</f>
        <v>stable</v>
      </c>
      <c r="F5" s="36" t="str" cm="1">
        <f t="array" ref="F5">IF(SUMPRODUCT(--(IFERROR(VALUE(LEFT('Dynamic stability'!A26:A29, FIND("+", 'Dynamic stability'!A26:A29&amp;"+")-1)), VALUE(LEFT('Dynamic stability'!A26:A29, FIND("-", 'Dynamic stability'!A26:A29&amp;"-", 2)-1))) &gt; 0)) &gt; 0, "unstable", "stable")</f>
        <v>unstable</v>
      </c>
    </row>
    <row r="6" spans="1:6">
      <c r="A6" t="str">
        <f>'Stability derivatives'!A25</f>
        <v>Cnb</v>
      </c>
      <c r="B6" s="35">
        <f>'Stability derivatives'!B25</f>
        <v>0.94922499999999999</v>
      </c>
      <c r="D6" s="18" t="s">
        <v>62</v>
      </c>
      <c r="E6" s="36" t="str" cm="1">
        <f t="array" ref="E6">IF(SUMPRODUCT(--('Dynamic stability'!A34:A37 &gt; 0)) &gt; 0, "unstable", "stable")</f>
        <v>stable</v>
      </c>
      <c r="F6" s="36" t="str" cm="1">
        <f t="array" ref="F6">IF(SUMPRODUCT(--(IFERROR(VALUE(LEFT('Dynamic stability'!A40:A43, FIND("+", 'Dynamic stability'!A40:A43&amp;"+")-1)), VALUE(LEFT('Dynamic stability'!A40:A43, FIND("-", 'Dynamic stability'!A40:A43&amp;"-", 2)-1))) &gt; 0)) &gt; 0, "unstable", "stable")</f>
        <v>unstable</v>
      </c>
    </row>
    <row r="7" spans="1:6">
      <c r="A7" t="str">
        <f>'Stability derivatives'!A16</f>
        <v>CLa</v>
      </c>
      <c r="B7" s="21">
        <f>'Stability derivatives'!B16</f>
        <v>12.260187999999999</v>
      </c>
      <c r="D7" s="18" t="s">
        <v>63</v>
      </c>
      <c r="E7" s="36" t="str" cm="1">
        <f t="array" ref="E7">IF(SUMPRODUCT(--('Dynamic stability'!A48:A51 &gt; 0)) &gt; 0, "unstable", "stable")</f>
        <v>stable</v>
      </c>
      <c r="F7" s="36" t="str" cm="1">
        <f t="array" ref="F7">IF(SUMPRODUCT(--(IFERROR(VALUE(LEFT('Dynamic stability'!A54:A57, FIND("+", 'Dynamic stability'!A54:A57&amp;"+")-1)), VALUE(LEFT('Dynamic stability'!A54:A57, FIND("-", 'Dynamic stability'!A54:A57&amp;"-", 2)-1))) &gt; 0)) &gt; 0, "unstable", "stable")</f>
        <v>unstable</v>
      </c>
    </row>
    <row r="8" spans="1:6">
      <c r="A8" t="str">
        <f>'Stability derivatives'!A36</f>
        <v>Cmq</v>
      </c>
      <c r="B8" s="21">
        <f>'Stability derivatives'!B36</f>
        <v>-855.29791299999999</v>
      </c>
      <c r="D8" s="18" t="s">
        <v>64</v>
      </c>
      <c r="E8" s="36" t="str" cm="1">
        <f t="array" ref="E8">IF(SUMPRODUCT(--('Dynamic stability'!A62:A65 &gt; 0)) &gt; 0, "unstable", "stable")</f>
        <v>stable</v>
      </c>
      <c r="F8" s="36" t="str" cm="1">
        <f t="array" ref="F8">IF(SUMPRODUCT(--(IFERROR(VALUE(LEFT('Dynamic stability'!A68:A71, FIND("+", 'Dynamic stability'!A68:A71&amp;"+")-1)), VALUE(LEFT('Dynamic stability'!A68:A71, FIND("-", 'Dynamic stability'!A68:A71&amp;"-", 2)-1))) &gt; 0)) &gt; 0, "unstable", "stable")</f>
        <v>unstable</v>
      </c>
    </row>
    <row r="10" spans="1:6">
      <c r="A10" s="18" t="s">
        <v>17</v>
      </c>
      <c r="B10" s="36" t="s">
        <v>24</v>
      </c>
    </row>
    <row r="11" spans="1:6">
      <c r="A11" t="str">
        <f>'Stability derivatives'!A61</f>
        <v>Cma</v>
      </c>
      <c r="B11" s="35">
        <f>'Stability derivatives'!B61</f>
        <v>-63.272713000000003</v>
      </c>
    </row>
    <row r="12" spans="1:6">
      <c r="A12" t="str">
        <f>'Stability derivatives'!A60</f>
        <v>Clb</v>
      </c>
      <c r="B12" s="35">
        <f>'Stability derivatives'!B60</f>
        <v>-0.33193699999999998</v>
      </c>
    </row>
    <row r="13" spans="1:6">
      <c r="A13" t="str">
        <f>'Stability derivatives'!A64</f>
        <v>Cnb</v>
      </c>
      <c r="B13" s="35">
        <f>'Stability derivatives'!B30</f>
        <v>4.3715999999999998E-2</v>
      </c>
    </row>
    <row r="14" spans="1:6">
      <c r="A14" t="str">
        <f>'Stability derivatives'!A55</f>
        <v>CLa</v>
      </c>
      <c r="B14" s="21">
        <f>'Stability derivatives'!B55</f>
        <v>12.174505</v>
      </c>
    </row>
    <row r="15" spans="1:6">
      <c r="A15" t="str">
        <f>'Stability derivatives'!A75</f>
        <v>Cmq</v>
      </c>
      <c r="B15" s="21">
        <f>'Stability derivatives'!B75</f>
        <v>-854.95080600000006</v>
      </c>
    </row>
    <row r="17" spans="1:2">
      <c r="A17" s="18" t="s">
        <v>62</v>
      </c>
      <c r="B17" s="36" t="s">
        <v>24</v>
      </c>
    </row>
    <row r="18" spans="1:2">
      <c r="A18" t="str">
        <f>'Stability derivatives'!A100</f>
        <v>Cma</v>
      </c>
      <c r="B18" s="35">
        <f>'Stability derivatives'!B100</f>
        <v>-62.209774000000003</v>
      </c>
    </row>
    <row r="19" spans="1:2">
      <c r="A19" t="str">
        <f>'Stability derivatives'!A99</f>
        <v>Clb</v>
      </c>
      <c r="B19" s="35">
        <f>'Stability derivatives'!B99</f>
        <v>-0.33765299999999998</v>
      </c>
    </row>
    <row r="20" spans="1:2">
      <c r="A20" t="str">
        <f>'Stability derivatives'!A103</f>
        <v>Cnb</v>
      </c>
      <c r="B20" s="35">
        <f>'Stability derivatives'!B103</f>
        <v>0.95272500000000004</v>
      </c>
    </row>
    <row r="21" spans="1:2">
      <c r="A21" t="str">
        <f>'Stability derivatives'!A94</f>
        <v>CLa</v>
      </c>
      <c r="B21" s="21">
        <f>'Stability derivatives'!B94</f>
        <v>12.055642000000001</v>
      </c>
    </row>
    <row r="22" spans="1:2">
      <c r="A22" t="str">
        <f>'Stability derivatives'!A114</f>
        <v>Cmq</v>
      </c>
      <c r="B22" s="21">
        <f>'Stability derivatives'!B114</f>
        <v>-853.56201199999998</v>
      </c>
    </row>
    <row r="24" spans="1:2">
      <c r="A24" s="18" t="s">
        <v>63</v>
      </c>
      <c r="B24" s="36" t="s">
        <v>24</v>
      </c>
    </row>
    <row r="25" spans="1:2">
      <c r="A25" t="str">
        <f>'Stability derivatives'!A139</f>
        <v>Cma</v>
      </c>
      <c r="B25" s="35">
        <f>'Stability derivatives'!B139</f>
        <v>-60.843741999999999</v>
      </c>
    </row>
    <row r="26" spans="1:2">
      <c r="A26" t="str">
        <f>'Stability derivatives'!A138</f>
        <v>Clb</v>
      </c>
      <c r="B26" s="35">
        <f>'Stability derivatives'!B138</f>
        <v>-0.343219</v>
      </c>
    </row>
    <row r="27" spans="1:2">
      <c r="A27" t="str">
        <f>'Stability derivatives'!A142</f>
        <v>Cnb</v>
      </c>
      <c r="B27" s="35">
        <f>'Stability derivatives'!B142</f>
        <v>0.95506999999999997</v>
      </c>
    </row>
    <row r="28" spans="1:2">
      <c r="A28" t="str">
        <f>'Stability derivatives'!A133</f>
        <v>CLa</v>
      </c>
      <c r="B28" s="21">
        <f>'Stability derivatives'!B133</f>
        <v>11.904342</v>
      </c>
    </row>
    <row r="29" spans="1:2">
      <c r="A29" t="str">
        <f>'Stability derivatives'!A153</f>
        <v>Cmq</v>
      </c>
      <c r="B29" s="21">
        <f>'Stability derivatives'!B153</f>
        <v>-851.13330099999996</v>
      </c>
    </row>
    <row r="31" spans="1:2">
      <c r="A31" s="18" t="s">
        <v>64</v>
      </c>
      <c r="B31" s="36" t="s">
        <v>24</v>
      </c>
    </row>
    <row r="32" spans="1:2">
      <c r="A32" t="str">
        <f>'Stability derivatives'!A178</f>
        <v>Cma</v>
      </c>
      <c r="B32" s="35">
        <f>'Stability derivatives'!B178</f>
        <v>-59.181300999999998</v>
      </c>
    </row>
    <row r="33" spans="1:2">
      <c r="A33" t="str">
        <f>'Stability derivatives'!A177</f>
        <v>Clb</v>
      </c>
      <c r="B33" s="35">
        <f>'Stability derivatives'!B177</f>
        <v>-0.34860799999999997</v>
      </c>
    </row>
    <row r="34" spans="1:2">
      <c r="A34" t="str">
        <f>'Stability derivatives'!A181</f>
        <v>Cnb</v>
      </c>
      <c r="B34" s="35">
        <f>'Stability derivatives'!B181</f>
        <v>0.95779899999999996</v>
      </c>
    </row>
    <row r="35" spans="1:2">
      <c r="A35" t="str">
        <f>'Stability derivatives'!A172</f>
        <v>CLa</v>
      </c>
      <c r="B35" s="21">
        <f>'Stability derivatives'!B172</f>
        <v>11.721581</v>
      </c>
    </row>
    <row r="36" spans="1:2">
      <c r="A36" t="str">
        <f>'Stability derivatives'!A192</f>
        <v>Cmq</v>
      </c>
      <c r="B36" s="21">
        <f>'Stability derivatives'!B192</f>
        <v>-847.66766399999995</v>
      </c>
    </row>
    <row r="38" spans="1:2">
      <c r="A38" s="18"/>
      <c r="B38" s="36"/>
    </row>
    <row r="39" spans="1:2">
      <c r="B39" s="35"/>
    </row>
    <row r="40" spans="1:2">
      <c r="B40" s="35"/>
    </row>
    <row r="41" spans="1:2">
      <c r="B41" s="35"/>
    </row>
    <row r="45" spans="1:2">
      <c r="A45" s="18"/>
      <c r="B45" s="36"/>
    </row>
    <row r="46" spans="1:2">
      <c r="B46" s="35"/>
    </row>
    <row r="47" spans="1:2">
      <c r="B47" s="35"/>
    </row>
    <row r="48" spans="1:2">
      <c r="B48" s="35"/>
    </row>
    <row r="52" spans="1:2">
      <c r="A52" s="18"/>
      <c r="B52" s="36"/>
    </row>
    <row r="53" spans="1:2">
      <c r="B53" s="35"/>
    </row>
    <row r="54" spans="1:2">
      <c r="B54" s="35"/>
    </row>
    <row r="55" spans="1:2">
      <c r="B55" s="35"/>
    </row>
    <row r="59" spans="1:2">
      <c r="A59" s="18"/>
      <c r="B59" s="36"/>
    </row>
    <row r="60" spans="1:2">
      <c r="B60" s="35"/>
    </row>
    <row r="61" spans="1:2">
      <c r="B61" s="35"/>
    </row>
    <row r="62" spans="1:2">
      <c r="B62" s="35"/>
    </row>
    <row r="66" spans="1:2">
      <c r="A66" s="18"/>
      <c r="B66" s="36"/>
    </row>
    <row r="67" spans="1:2">
      <c r="B67" s="35"/>
    </row>
    <row r="68" spans="1:2">
      <c r="B68" s="35"/>
    </row>
    <row r="69" spans="1:2">
      <c r="B69" s="35"/>
    </row>
    <row r="73" spans="1:2">
      <c r="A73" s="18"/>
      <c r="B73" s="36"/>
    </row>
    <row r="74" spans="1:2">
      <c r="B74" s="35"/>
    </row>
    <row r="75" spans="1:2">
      <c r="B75" s="35"/>
    </row>
    <row r="76" spans="1:2">
      <c r="B76" s="35"/>
    </row>
    <row r="80" spans="1:2">
      <c r="A80" s="18"/>
      <c r="B80" s="36"/>
    </row>
    <row r="81" spans="2:2">
      <c r="B81" s="35"/>
    </row>
    <row r="82" spans="2:2">
      <c r="B82" s="35"/>
    </row>
  </sheetData>
  <mergeCells count="2">
    <mergeCell ref="A1:B1"/>
    <mergeCell ref="D1:F1"/>
  </mergeCells>
  <phoneticPr fontId="20" type="noConversion"/>
  <conditionalFormatting sqref="B5 B75 B19 B33 B47 B61">
    <cfRule type="cellIs" dxfId="23" priority="24" operator="greaterThan">
      <formula>0</formula>
    </cfRule>
    <cfRule type="cellIs" dxfId="22" priority="25" operator="lessThan">
      <formula>0</formula>
    </cfRule>
  </conditionalFormatting>
  <conditionalFormatting sqref="B4 B74 B18 B32 B46 B60">
    <cfRule type="cellIs" dxfId="21" priority="22" operator="greaterThan">
      <formula>0</formula>
    </cfRule>
    <cfRule type="cellIs" dxfId="20" priority="23" operator="lessThan">
      <formula>0</formula>
    </cfRule>
  </conditionalFormatting>
  <conditionalFormatting sqref="B6 B76 B20 B34 B48 B62">
    <cfRule type="cellIs" dxfId="19" priority="20" operator="lessThan">
      <formula>0</formula>
    </cfRule>
    <cfRule type="cellIs" dxfId="18" priority="21" operator="greaterThan">
      <formula>0</formula>
    </cfRule>
  </conditionalFormatting>
  <conditionalFormatting sqref="B12 B82 B26 B40 B54 B68">
    <cfRule type="cellIs" dxfId="17" priority="18" operator="greaterThan">
      <formula>0</formula>
    </cfRule>
    <cfRule type="cellIs" dxfId="16" priority="19" operator="lessThan">
      <formula>0</formula>
    </cfRule>
  </conditionalFormatting>
  <conditionalFormatting sqref="B11 B81 B25 B39 B53 B67">
    <cfRule type="cellIs" dxfId="15" priority="16" operator="greaterThan">
      <formula>0</formula>
    </cfRule>
    <cfRule type="cellIs" dxfId="14" priority="17" operator="lessThan">
      <formula>0</formula>
    </cfRule>
  </conditionalFormatting>
  <conditionalFormatting sqref="B13 B27 B41 B55 B69">
    <cfRule type="cellIs" dxfId="13" priority="14" operator="lessThan">
      <formula>0</formula>
    </cfRule>
    <cfRule type="cellIs" dxfId="12" priority="15" operator="greaterThan">
      <formula>0</formula>
    </cfRule>
  </conditionalFormatting>
  <conditionalFormatting sqref="B7 B77 B21 B35 B49 B63">
    <cfRule type="cellIs" dxfId="11" priority="12" operator="lessThan">
      <formula>0</formula>
    </cfRule>
    <cfRule type="cellIs" dxfId="10" priority="13" operator="greaterThan">
      <formula>0</formula>
    </cfRule>
  </conditionalFormatting>
  <conditionalFormatting sqref="B14 B70 B28 B42 B56">
    <cfRule type="cellIs" dxfId="9" priority="10" operator="lessThan">
      <formula>0</formula>
    </cfRule>
    <cfRule type="cellIs" dxfId="8" priority="11" operator="greaterThan">
      <formula>0</formula>
    </cfRule>
  </conditionalFormatting>
  <conditionalFormatting sqref="B8 B78 B22 B36 B50 B64">
    <cfRule type="cellIs" dxfId="7" priority="9" operator="lessThan">
      <formula>0</formula>
    </cfRule>
  </conditionalFormatting>
  <conditionalFormatting sqref="B15 B71 B29 B43 B57">
    <cfRule type="cellIs" dxfId="6" priority="8" operator="lessThan">
      <formula>0</formula>
    </cfRule>
  </conditionalFormatting>
  <conditionalFormatting sqref="B8 B22 B36 B50 B64">
    <cfRule type="cellIs" dxfId="5" priority="7" operator="greaterThan">
      <formula>0</formula>
    </cfRule>
  </conditionalFormatting>
  <conditionalFormatting sqref="B15 B29 B43 B57">
    <cfRule type="cellIs" dxfId="4" priority="6" operator="greaterThan">
      <formula>0</formula>
    </cfRule>
  </conditionalFormatting>
  <conditionalFormatting sqref="F4:F8">
    <cfRule type="containsText" dxfId="3" priority="3" operator="containsText" text="unstable">
      <formula>NOT(ISERROR(SEARCH("unstable",F4)))</formula>
    </cfRule>
    <cfRule type="containsText" dxfId="2" priority="4" operator="containsText" text="stable">
      <formula>NOT(ISERROR(SEARCH("stable",F4)))</formula>
    </cfRule>
  </conditionalFormatting>
  <conditionalFormatting sqref="E4:E8">
    <cfRule type="containsText" dxfId="1" priority="1" operator="containsText" text="unstable">
      <formula>NOT(ISERROR(SEARCH("unstable",E4)))</formula>
    </cfRule>
    <cfRule type="containsText" dxfId="0" priority="2" operator="containsText" text="stable">
      <formula>NOT(ISERROR(SEARCH("stable",E4)))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37</vt:i4>
      </vt:variant>
    </vt:vector>
  </HeadingPairs>
  <TitlesOfParts>
    <vt:vector size="41" baseType="lpstr">
      <vt:lpstr>Inputs</vt:lpstr>
      <vt:lpstr>Stability derivatives</vt:lpstr>
      <vt:lpstr>Dynamic stability</vt:lpstr>
      <vt:lpstr>Stable or not</vt:lpstr>
      <vt:lpstr>'Dynamic stability'!ExternalData_1</vt:lpstr>
      <vt:lpstr>'Stability derivatives'!ExternalData_1</vt:lpstr>
      <vt:lpstr>'Dynamic stability'!ExternalData_10</vt:lpstr>
      <vt:lpstr>'Stability derivatives'!ExternalData_10</vt:lpstr>
      <vt:lpstr>'Dynamic stability'!ExternalData_11</vt:lpstr>
      <vt:lpstr>'Stability derivatives'!ExternalData_11</vt:lpstr>
      <vt:lpstr>'Stability derivatives'!ExternalData_12</vt:lpstr>
      <vt:lpstr>'Stability derivatives'!ExternalData_13</vt:lpstr>
      <vt:lpstr>'Stability derivatives'!ExternalData_14</vt:lpstr>
      <vt:lpstr>'Stability derivatives'!ExternalData_15</vt:lpstr>
      <vt:lpstr>'Stability derivatives'!ExternalData_16</vt:lpstr>
      <vt:lpstr>'Stability derivatives'!ExternalData_17</vt:lpstr>
      <vt:lpstr>'Stability derivatives'!ExternalData_18</vt:lpstr>
      <vt:lpstr>'Stability derivatives'!ExternalData_19</vt:lpstr>
      <vt:lpstr>'Dynamic stability'!ExternalData_2</vt:lpstr>
      <vt:lpstr>'Stability derivatives'!ExternalData_2</vt:lpstr>
      <vt:lpstr>'Stability derivatives'!ExternalData_20</vt:lpstr>
      <vt:lpstr>'Stability derivatives'!ExternalData_21</vt:lpstr>
      <vt:lpstr>'Stability derivatives'!ExternalData_22</vt:lpstr>
      <vt:lpstr>'Stability derivatives'!ExternalData_23</vt:lpstr>
      <vt:lpstr>'Stability derivatives'!ExternalData_24</vt:lpstr>
      <vt:lpstr>'Stability derivatives'!ExternalData_25</vt:lpstr>
      <vt:lpstr>'Stability derivatives'!ExternalData_26</vt:lpstr>
      <vt:lpstr>'Stability derivatives'!ExternalData_27</vt:lpstr>
      <vt:lpstr>'Stability derivatives'!ExternalData_28</vt:lpstr>
      <vt:lpstr>'Dynamic stability'!ExternalData_3</vt:lpstr>
      <vt:lpstr>'Stability derivatives'!ExternalData_3</vt:lpstr>
      <vt:lpstr>'Dynamic stability'!ExternalData_4</vt:lpstr>
      <vt:lpstr>'Stability derivatives'!ExternalData_4</vt:lpstr>
      <vt:lpstr>'Dynamic stability'!ExternalData_5</vt:lpstr>
      <vt:lpstr>'Stability derivatives'!ExternalData_5</vt:lpstr>
      <vt:lpstr>'Dynamic stability'!ExternalData_6</vt:lpstr>
      <vt:lpstr>'Stability derivatives'!ExternalData_6</vt:lpstr>
      <vt:lpstr>'Stability derivatives'!ExternalData_7</vt:lpstr>
      <vt:lpstr>'Stability derivatives'!ExternalData_8</vt:lpstr>
      <vt:lpstr>'Dynamic stability'!ExternalData_9</vt:lpstr>
      <vt:lpstr>'Stability derivatives'!ExternalData_9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Riks Molenaar</dc:creator>
  <cp:lastModifiedBy>Riks Molenaar</cp:lastModifiedBy>
  <dcterms:created xsi:type="dcterms:W3CDTF">2024-05-16T14:16:02Z</dcterms:created>
  <dcterms:modified xsi:type="dcterms:W3CDTF">2025-06-10T13:23:38Z</dcterms:modified>
</cp:coreProperties>
</file>